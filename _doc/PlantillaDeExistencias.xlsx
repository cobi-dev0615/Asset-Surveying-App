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arez\Desktop\DRAGON\EMPECO LERMA\"/>
    </mc:Choice>
  </mc:AlternateContent>
  <xr:revisionPtr revIDLastSave="0" documentId="13_ncr:1_{1F92926C-46DE-46D2-91D5-5C73F0E5C7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tillaDeExistencia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7" i="1" l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<sst xmlns="http://schemas.openxmlformats.org/spreadsheetml/2006/main" count="338" uniqueCount="171">
  <si>
    <t>SKU</t>
  </si>
  <si>
    <t>Codigo1</t>
  </si>
  <si>
    <t>CantidadTeorica</t>
  </si>
  <si>
    <t>PrecioVenta</t>
  </si>
  <si>
    <t>1502-030-038</t>
  </si>
  <si>
    <t>1502-030-084</t>
  </si>
  <si>
    <t>1502-999-010</t>
  </si>
  <si>
    <t>1502-999-014</t>
  </si>
  <si>
    <t>2002-010-086</t>
  </si>
  <si>
    <t>ASA010</t>
  </si>
  <si>
    <t>ASA030</t>
  </si>
  <si>
    <t>ASA040</t>
  </si>
  <si>
    <t>ASA050</t>
  </si>
  <si>
    <t>BEUR010</t>
  </si>
  <si>
    <t>BEUR041</t>
  </si>
  <si>
    <t>BLGS010</t>
  </si>
  <si>
    <t>BLGS020</t>
  </si>
  <si>
    <t>BLGS030</t>
  </si>
  <si>
    <t>BLGS061</t>
  </si>
  <si>
    <t>BTWS010</t>
  </si>
  <si>
    <t>BTWS040</t>
  </si>
  <si>
    <t>BTWS050</t>
  </si>
  <si>
    <t>BTWS070</t>
  </si>
  <si>
    <t>BTWS110</t>
  </si>
  <si>
    <t>BTWS141</t>
  </si>
  <si>
    <t>BTWS150</t>
  </si>
  <si>
    <t>BTWS151</t>
  </si>
  <si>
    <t>BTWS161</t>
  </si>
  <si>
    <t>BTWS180</t>
  </si>
  <si>
    <t>BTWS215</t>
  </si>
  <si>
    <t>BTWS220</t>
  </si>
  <si>
    <t>BTWS250</t>
  </si>
  <si>
    <t>BTWS261</t>
  </si>
  <si>
    <t>BTWS500</t>
  </si>
  <si>
    <t>BTWS520</t>
  </si>
  <si>
    <t>BTWS561</t>
  </si>
  <si>
    <t>BTWS562</t>
  </si>
  <si>
    <t>BTWS563</t>
  </si>
  <si>
    <t>BTWS630</t>
  </si>
  <si>
    <t>BTWS700</t>
  </si>
  <si>
    <t>BTWS800</t>
  </si>
  <si>
    <t>BZE030</t>
  </si>
  <si>
    <t>BZE040</t>
  </si>
  <si>
    <t>BZE049</t>
  </si>
  <si>
    <t>BZE050</t>
  </si>
  <si>
    <t>BZE060</t>
  </si>
  <si>
    <t>CAN001</t>
  </si>
  <si>
    <t>EMS041</t>
  </si>
  <si>
    <t>EMS042</t>
  </si>
  <si>
    <t>EMS043</t>
  </si>
  <si>
    <t>EMS044</t>
  </si>
  <si>
    <t>EMS048</t>
  </si>
  <si>
    <t>EMS049</t>
  </si>
  <si>
    <t>EMS051</t>
  </si>
  <si>
    <t>EMS080</t>
  </si>
  <si>
    <t>EMS090</t>
  </si>
  <si>
    <t>EMS100</t>
  </si>
  <si>
    <t>EMS101</t>
  </si>
  <si>
    <t>EMS102</t>
  </si>
  <si>
    <t>EMS201</t>
  </si>
  <si>
    <t>EMS209</t>
  </si>
  <si>
    <t>EMS213</t>
  </si>
  <si>
    <t>EMS217</t>
  </si>
  <si>
    <t>EMS223</t>
  </si>
  <si>
    <t>GA5L010</t>
  </si>
  <si>
    <t>GA5L040</t>
  </si>
  <si>
    <t>GAN002</t>
  </si>
  <si>
    <t>K-PAX-C-001</t>
  </si>
  <si>
    <t>K-PAX-C-111</t>
  </si>
  <si>
    <t>K-PAX-C-112</t>
  </si>
  <si>
    <t>K-PAX-M-001</t>
  </si>
  <si>
    <t>K-PAX-M-002</t>
  </si>
  <si>
    <t>ME129</t>
  </si>
  <si>
    <t>ME191</t>
  </si>
  <si>
    <t>MEMP010</t>
  </si>
  <si>
    <t>MEMP011</t>
  </si>
  <si>
    <t>MEMP013</t>
  </si>
  <si>
    <t>MEMP014</t>
  </si>
  <si>
    <t>MEMP017</t>
  </si>
  <si>
    <t>MEMP020</t>
  </si>
  <si>
    <t>MEMP030</t>
  </si>
  <si>
    <t>MEMP031</t>
  </si>
  <si>
    <t>MEMP032</t>
  </si>
  <si>
    <t>MEMP033</t>
  </si>
  <si>
    <t>MEMP035</t>
  </si>
  <si>
    <t>MEMP037</t>
  </si>
  <si>
    <t>MEMP039</t>
  </si>
  <si>
    <t>MEMP040</t>
  </si>
  <si>
    <t>MEMP043</t>
  </si>
  <si>
    <t>MEMP071</t>
  </si>
  <si>
    <t>MZ-PAX-001</t>
  </si>
  <si>
    <t>P110G010</t>
  </si>
  <si>
    <t>PELPVC001</t>
  </si>
  <si>
    <t>PIG011</t>
  </si>
  <si>
    <t>PIG042</t>
  </si>
  <si>
    <t>PIG061</t>
  </si>
  <si>
    <t>PIG165</t>
  </si>
  <si>
    <t>PIG250</t>
  </si>
  <si>
    <t>PIG260</t>
  </si>
  <si>
    <t>PIG261</t>
  </si>
  <si>
    <t>PIG263</t>
  </si>
  <si>
    <t>PIG264</t>
  </si>
  <si>
    <t>PIG265</t>
  </si>
  <si>
    <t>PIG266</t>
  </si>
  <si>
    <t>PIG268</t>
  </si>
  <si>
    <t>RES020</t>
  </si>
  <si>
    <t>RES022</t>
  </si>
  <si>
    <t>RES024</t>
  </si>
  <si>
    <t>RES027</t>
  </si>
  <si>
    <t>RES028</t>
  </si>
  <si>
    <t>RES070</t>
  </si>
  <si>
    <t>RES072</t>
  </si>
  <si>
    <t>RES136</t>
  </si>
  <si>
    <t>RES137</t>
  </si>
  <si>
    <t>RES138</t>
  </si>
  <si>
    <t>RES139</t>
  </si>
  <si>
    <t>SI010</t>
  </si>
  <si>
    <t>SI019</t>
  </si>
  <si>
    <t>SI022</t>
  </si>
  <si>
    <t>SI030</t>
  </si>
  <si>
    <t>SI032</t>
  </si>
  <si>
    <t>S-PAX-C-001</t>
  </si>
  <si>
    <t>S-PAX-M-001</t>
  </si>
  <si>
    <t>S-PAX-M-002</t>
  </si>
  <si>
    <t>ST-PAX-001</t>
  </si>
  <si>
    <t>T45020</t>
  </si>
  <si>
    <t>T45020AC</t>
  </si>
  <si>
    <t>T45021</t>
  </si>
  <si>
    <t>T45022</t>
  </si>
  <si>
    <t>T45030</t>
  </si>
  <si>
    <t>T45040</t>
  </si>
  <si>
    <t>T45090</t>
  </si>
  <si>
    <t>T45100</t>
  </si>
  <si>
    <t>T45101</t>
  </si>
  <si>
    <t>T45102</t>
  </si>
  <si>
    <t>T45110</t>
  </si>
  <si>
    <t>T45111</t>
  </si>
  <si>
    <t>T45180</t>
  </si>
  <si>
    <t>T45230</t>
  </si>
  <si>
    <t>T45231</t>
  </si>
  <si>
    <t>T45251 AC</t>
  </si>
  <si>
    <t>T45310</t>
  </si>
  <si>
    <t>T45332</t>
  </si>
  <si>
    <t>T45410</t>
  </si>
  <si>
    <t>T45501</t>
  </si>
  <si>
    <t>T50020</t>
  </si>
  <si>
    <t>T50020AC</t>
  </si>
  <si>
    <t>T50030</t>
  </si>
  <si>
    <t>T50030AC</t>
  </si>
  <si>
    <t>T50031</t>
  </si>
  <si>
    <t>T50100</t>
  </si>
  <si>
    <t>T50180</t>
  </si>
  <si>
    <t>T63020</t>
  </si>
  <si>
    <t>T63022</t>
  </si>
  <si>
    <t>T63030</t>
  </si>
  <si>
    <t>T63100</t>
  </si>
  <si>
    <t>T63110</t>
  </si>
  <si>
    <t>T63111</t>
  </si>
  <si>
    <t>T63180</t>
  </si>
  <si>
    <t>T63181</t>
  </si>
  <si>
    <t>T63260</t>
  </si>
  <si>
    <t>T63601</t>
  </si>
  <si>
    <t>T63801</t>
  </si>
  <si>
    <t>T63911</t>
  </si>
  <si>
    <t>T63912</t>
  </si>
  <si>
    <t>T63913</t>
  </si>
  <si>
    <t>TARIMA2</t>
  </si>
  <si>
    <t>VASO001</t>
  </si>
  <si>
    <t>VIAL003</t>
  </si>
  <si>
    <t>Z120G010</t>
  </si>
  <si>
    <t>Z120G020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</si>
</sst>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2E2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2" xfId="42" xr:uid="{DB617BB2-8FE5-4DDD-9458-DCC71C85873F}"/>
    <cellStyle name="Moneda 2" xfId="43" xr:uid="{132B10D6-E7DB-4778-A6C1-9FC3FC686F24}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arez\AppData\Local\Microsoft\Windows\INetCache\Content.Outlook\Q8R2W3P0\EXISTENCIAS%20EMPECO%20INVENTARIO%20ANUAL%202025.xlsx" TargetMode="External"/><Relationship Id="rId1" Type="http://schemas.openxmlformats.org/officeDocument/2006/relationships/externalLinkPath" Target="/Users/ASuarez/AppData/Local/Microsoft/Windows/INetCache/Content.Outlook/Q8R2W3P0/EXISTENCIAS%20EMPECO%20INVENTARIO%20ANUA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5541021UB_DRGALM01_947042_PDF"/>
      <sheetName val="EXISTENCIAS EN GENERAL"/>
      <sheetName val="ALMACENES"/>
      <sheetName val="CUAUTLA"/>
      <sheetName val="LERMA"/>
      <sheetName val="CONSIGNACION"/>
    </sheetNames>
    <sheetDataSet>
      <sheetData sheetId="0"/>
      <sheetData sheetId="1"/>
      <sheetData sheetId="2"/>
      <sheetData sheetId="3"/>
      <sheetData sheetId="4">
        <row r="7">
          <cell r="D7" t="str">
            <v>Codigo</v>
          </cell>
          <cell r="E7" t="str">
            <v>Descripcion</v>
          </cell>
          <cell r="F7" t="str">
            <v>STKT</v>
          </cell>
          <cell r="G7" t="str">
            <v>GLPT</v>
          </cell>
          <cell r="H7" t="str">
            <v>Existencia</v>
          </cell>
          <cell r="I7" t="str">
            <v>Cto. Unitario</v>
          </cell>
        </row>
        <row r="8">
          <cell r="D8" t="str">
            <v>MEMP010</v>
          </cell>
          <cell r="E8" t="str">
            <v>CHAROLA DE CARTON 120 X100 X 8</v>
          </cell>
          <cell r="F8" t="str">
            <v>P</v>
          </cell>
          <cell r="G8" t="str">
            <v>IEMP</v>
          </cell>
          <cell r="H8">
            <v>26718</v>
          </cell>
          <cell r="I8">
            <v>19.334299999999999</v>
          </cell>
        </row>
        <row r="9">
          <cell r="D9" t="str">
            <v>MEMP020</v>
          </cell>
          <cell r="E9" t="str">
            <v>CINTA CANELA 48X150</v>
          </cell>
          <cell r="F9" t="str">
            <v>P</v>
          </cell>
          <cell r="G9" t="str">
            <v>IEMP</v>
          </cell>
          <cell r="H9">
            <v>30</v>
          </cell>
          <cell r="I9">
            <v>314</v>
          </cell>
        </row>
        <row r="10">
          <cell r="D10" t="str">
            <v>MEMP030</v>
          </cell>
          <cell r="E10" t="str">
            <v>CAJAS DE CARTON 58 X 42 X 36</v>
          </cell>
          <cell r="F10" t="str">
            <v>P</v>
          </cell>
          <cell r="G10" t="str">
            <v>IEMP</v>
          </cell>
          <cell r="H10">
            <v>1535</v>
          </cell>
          <cell r="I10">
            <v>27.613</v>
          </cell>
        </row>
        <row r="11">
          <cell r="D11" t="str">
            <v>MEMP040</v>
          </cell>
          <cell r="E11" t="str">
            <v>FLEJE DE PLASTICO NEGRO DE 1/2</v>
          </cell>
          <cell r="F11" t="str">
            <v>P</v>
          </cell>
          <cell r="G11" t="str">
            <v>IEMP</v>
          </cell>
          <cell r="H11">
            <v>245</v>
          </cell>
          <cell r="I11">
            <v>37.947299999999998</v>
          </cell>
        </row>
        <row r="12">
          <cell r="D12" t="str">
            <v>RES020</v>
          </cell>
          <cell r="E12" t="str">
            <v>RES POLIETILENO DOW 8904</v>
          </cell>
          <cell r="F12" t="str">
            <v>P</v>
          </cell>
          <cell r="G12" t="str">
            <v>IPET</v>
          </cell>
          <cell r="H12">
            <v>48930</v>
          </cell>
          <cell r="I12">
            <v>18.1525</v>
          </cell>
        </row>
        <row r="13">
          <cell r="D13" t="str">
            <v>SI010</v>
          </cell>
          <cell r="E13" t="str">
            <v>SELLO 42.95MM 40/40/15</v>
          </cell>
          <cell r="F13" t="str">
            <v>P</v>
          </cell>
          <cell r="G13" t="str">
            <v>ISEL</v>
          </cell>
          <cell r="H13">
            <v>7020000</v>
          </cell>
          <cell r="I13">
            <v>0.19239999999999999</v>
          </cell>
        </row>
        <row r="14">
          <cell r="D14" t="str">
            <v>SI030</v>
          </cell>
          <cell r="E14" t="str">
            <v>SELLO 60.5MM 40/40/15</v>
          </cell>
          <cell r="F14" t="str">
            <v>P</v>
          </cell>
          <cell r="G14" t="str">
            <v>ISEL</v>
          </cell>
          <cell r="H14">
            <v>4870080</v>
          </cell>
          <cell r="I14">
            <v>0.37969999999999998</v>
          </cell>
        </row>
        <row r="15">
          <cell r="D15" t="str">
            <v>RES070</v>
          </cell>
          <cell r="E15" t="str">
            <v>RESINA VIRGEN PET CRISTAL</v>
          </cell>
          <cell r="F15" t="str">
            <v>P</v>
          </cell>
          <cell r="G15" t="str">
            <v>PETS</v>
          </cell>
          <cell r="H15">
            <v>609021</v>
          </cell>
          <cell r="I15">
            <v>23.436699999999998</v>
          </cell>
        </row>
        <row r="16">
          <cell r="D16" t="str">
            <v>PIG165</v>
          </cell>
          <cell r="E16" t="str">
            <v>PIG MASTERBACH AMARILLO</v>
          </cell>
          <cell r="F16" t="str">
            <v>O</v>
          </cell>
          <cell r="G16" t="str">
            <v>IPIG</v>
          </cell>
          <cell r="H16">
            <v>25</v>
          </cell>
          <cell r="I16">
            <v>98.131600000000006</v>
          </cell>
        </row>
        <row r="17">
          <cell r="D17" t="str">
            <v>MEMP035</v>
          </cell>
          <cell r="E17" t="str">
            <v>BOLSA DE POLIETILENO</v>
          </cell>
          <cell r="F17" t="str">
            <v>O</v>
          </cell>
          <cell r="G17" t="str">
            <v>IBOL</v>
          </cell>
          <cell r="H17">
            <v>13500</v>
          </cell>
          <cell r="I17">
            <v>4.4429999999999996</v>
          </cell>
        </row>
        <row r="18">
          <cell r="D18" t="str">
            <v>MEMP011</v>
          </cell>
          <cell r="E18" t="str">
            <v>CAJA DE CARTON 58X34X36</v>
          </cell>
          <cell r="F18" t="str">
            <v>O</v>
          </cell>
          <cell r="G18" t="str">
            <v>ICAJ</v>
          </cell>
          <cell r="H18">
            <v>2538</v>
          </cell>
          <cell r="I18">
            <v>15.316800000000001</v>
          </cell>
        </row>
        <row r="19">
          <cell r="D19" t="str">
            <v>MEMP031</v>
          </cell>
          <cell r="E19" t="str">
            <v>CAJA DE CARTON 58X34X36</v>
          </cell>
          <cell r="F19" t="str">
            <v>O</v>
          </cell>
          <cell r="G19" t="str">
            <v>ICAJ</v>
          </cell>
          <cell r="H19">
            <v>1349</v>
          </cell>
          <cell r="I19">
            <v>30</v>
          </cell>
        </row>
        <row r="20">
          <cell r="D20" t="str">
            <v>PIG250</v>
          </cell>
          <cell r="E20" t="str">
            <v>PIGMENTO BLANCO BF-914</v>
          </cell>
          <cell r="F20" t="str">
            <v>P</v>
          </cell>
          <cell r="G20" t="str">
            <v>IPIG</v>
          </cell>
          <cell r="H20">
            <v>2702</v>
          </cell>
          <cell r="I20">
            <v>167.9521</v>
          </cell>
        </row>
        <row r="21">
          <cell r="D21" t="str">
            <v>PIG260</v>
          </cell>
          <cell r="E21" t="str">
            <v>PIGMENTO VERDE LN-235</v>
          </cell>
          <cell r="F21" t="str">
            <v>P</v>
          </cell>
          <cell r="G21" t="str">
            <v>IPIG</v>
          </cell>
          <cell r="H21">
            <v>50</v>
          </cell>
          <cell r="I21">
            <v>616.05820000000006</v>
          </cell>
        </row>
        <row r="22">
          <cell r="D22" t="str">
            <v>RES022</v>
          </cell>
          <cell r="E22" t="str">
            <v>POLIPROPILENO FORMOLENE 1102KR</v>
          </cell>
          <cell r="F22" t="str">
            <v>P</v>
          </cell>
          <cell r="G22" t="str">
            <v>IPET</v>
          </cell>
          <cell r="H22">
            <v>2940</v>
          </cell>
          <cell r="I22">
            <v>21.038599999999999</v>
          </cell>
        </row>
        <row r="23">
          <cell r="D23" t="str">
            <v>PIG261</v>
          </cell>
          <cell r="E23" t="str">
            <v>PIG VERDE LAB-11213=DP-1012</v>
          </cell>
          <cell r="F23" t="str">
            <v>P</v>
          </cell>
          <cell r="G23" t="str">
            <v>IPIG</v>
          </cell>
          <cell r="H23">
            <v>134</v>
          </cell>
          <cell r="I23">
            <v>684.36109999999996</v>
          </cell>
        </row>
        <row r="24">
          <cell r="D24" t="str">
            <v>PIG061</v>
          </cell>
          <cell r="E24" t="str">
            <v>PIG AMBAR LAB-11217 = DP1013</v>
          </cell>
          <cell r="F24" t="str">
            <v>P</v>
          </cell>
          <cell r="G24" t="str">
            <v>IPIG</v>
          </cell>
          <cell r="H24">
            <v>298</v>
          </cell>
          <cell r="I24">
            <v>882.07270000000005</v>
          </cell>
        </row>
        <row r="25">
          <cell r="D25" t="str">
            <v>PIG042</v>
          </cell>
          <cell r="E25" t="str">
            <v>MASTERBATCH VERDE 348-C</v>
          </cell>
          <cell r="F25" t="str">
            <v>O</v>
          </cell>
          <cell r="G25" t="str">
            <v>IPIG</v>
          </cell>
          <cell r="H25">
            <v>700</v>
          </cell>
          <cell r="I25">
            <v>95.997200000000007</v>
          </cell>
        </row>
        <row r="26">
          <cell r="D26" t="str">
            <v>MEMP071</v>
          </cell>
          <cell r="E26" t="str">
            <v>PELICULA P/ PALETIZAR CAL. 63</v>
          </cell>
          <cell r="F26" t="str">
            <v>P</v>
          </cell>
          <cell r="G26" t="str">
            <v>IPEL</v>
          </cell>
          <cell r="H26">
            <v>3572</v>
          </cell>
          <cell r="I26">
            <v>51.061300000000003</v>
          </cell>
        </row>
        <row r="27">
          <cell r="D27" t="str">
            <v>SI032</v>
          </cell>
          <cell r="E27" t="str">
            <v>LINER 35P-TS-PE DIAMETRO 63</v>
          </cell>
          <cell r="F27" t="str">
            <v>P</v>
          </cell>
          <cell r="G27" t="str">
            <v>ISEL</v>
          </cell>
          <cell r="H27">
            <v>469102</v>
          </cell>
          <cell r="I27">
            <v>0.47539999999999999</v>
          </cell>
        </row>
        <row r="28">
          <cell r="D28" t="str">
            <v>MEMP032</v>
          </cell>
          <cell r="E28" t="str">
            <v>CAJA DE GARRAFA 96X61X64</v>
          </cell>
          <cell r="F28" t="str">
            <v>P</v>
          </cell>
          <cell r="G28" t="str">
            <v>ICAJ</v>
          </cell>
          <cell r="H28">
            <v>320</v>
          </cell>
          <cell r="I28">
            <v>45.338000000000001</v>
          </cell>
        </row>
        <row r="29">
          <cell r="D29" t="str">
            <v>MEMP033</v>
          </cell>
          <cell r="E29" t="str">
            <v>SEPARADOR DE CARTON 95.5X60.5</v>
          </cell>
          <cell r="F29" t="str">
            <v>P</v>
          </cell>
          <cell r="G29" t="str">
            <v>ICAJ</v>
          </cell>
          <cell r="H29">
            <v>500</v>
          </cell>
          <cell r="I29">
            <v>6.1635999999999997</v>
          </cell>
        </row>
        <row r="30">
          <cell r="D30" t="str">
            <v>PIG263</v>
          </cell>
          <cell r="E30" t="str">
            <v>PIGMENTO SILVER LIQ 472-20132</v>
          </cell>
          <cell r="F30" t="str">
            <v>P</v>
          </cell>
          <cell r="G30" t="str">
            <v>IPIG</v>
          </cell>
          <cell r="H30">
            <v>163</v>
          </cell>
          <cell r="I30">
            <v>466.255</v>
          </cell>
        </row>
        <row r="31">
          <cell r="D31" t="str">
            <v>PIG264</v>
          </cell>
          <cell r="E31" t="str">
            <v>PIG AMAR LIQ 123C 486-20197-1</v>
          </cell>
          <cell r="F31" t="str">
            <v>P</v>
          </cell>
          <cell r="G31" t="str">
            <v>IPIG</v>
          </cell>
          <cell r="H31">
            <v>35</v>
          </cell>
          <cell r="I31">
            <v>803.96339999999998</v>
          </cell>
        </row>
        <row r="32">
          <cell r="D32" t="str">
            <v>RES072</v>
          </cell>
          <cell r="E32" t="str">
            <v>RESINA VIRGEN PET   PJ002</v>
          </cell>
          <cell r="F32" t="str">
            <v>P</v>
          </cell>
          <cell r="G32" t="str">
            <v>PETS</v>
          </cell>
          <cell r="H32">
            <v>77502</v>
          </cell>
          <cell r="I32">
            <v>31.570900000000002</v>
          </cell>
        </row>
        <row r="33">
          <cell r="D33" t="str">
            <v>RES024</v>
          </cell>
          <cell r="E33" t="str">
            <v>POLIPROPIL CLARIFICADO 5112 C3</v>
          </cell>
          <cell r="F33" t="str">
            <v>P</v>
          </cell>
          <cell r="G33" t="str">
            <v>IPET</v>
          </cell>
          <cell r="H33">
            <v>5506</v>
          </cell>
          <cell r="I33">
            <v>25.7377</v>
          </cell>
        </row>
        <row r="34">
          <cell r="D34" t="str">
            <v>PIG265</v>
          </cell>
          <cell r="E34" t="str">
            <v>PIG BCO PERLADO LIQ471-20379-3</v>
          </cell>
          <cell r="F34" t="str">
            <v>P</v>
          </cell>
          <cell r="G34" t="str">
            <v>IPIG</v>
          </cell>
          <cell r="H34">
            <v>118</v>
          </cell>
          <cell r="I34">
            <v>648.37909999999999</v>
          </cell>
        </row>
        <row r="35">
          <cell r="D35" t="str">
            <v>PELPVC001</v>
          </cell>
          <cell r="E35" t="str">
            <v>PELICULA PVC TERMOENCOGIBLE</v>
          </cell>
          <cell r="F35" t="str">
            <v>P</v>
          </cell>
          <cell r="G35" t="str">
            <v>IPEL</v>
          </cell>
          <cell r="H35">
            <v>19743</v>
          </cell>
          <cell r="I35">
            <v>80.440799999999996</v>
          </cell>
        </row>
        <row r="36">
          <cell r="D36" t="str">
            <v>PIG266</v>
          </cell>
          <cell r="E36" t="str">
            <v>PIGMENTO NEGRO LIQUIDO</v>
          </cell>
          <cell r="F36" t="str">
            <v>P</v>
          </cell>
          <cell r="G36" t="str">
            <v>IPIG</v>
          </cell>
          <cell r="H36">
            <v>156</v>
          </cell>
          <cell r="I36">
            <v>345.96319999999997</v>
          </cell>
        </row>
        <row r="37">
          <cell r="D37" t="str">
            <v>RES136</v>
          </cell>
          <cell r="E37" t="str">
            <v>POLIETILENO 50100.2</v>
          </cell>
          <cell r="F37" t="str">
            <v>P</v>
          </cell>
          <cell r="G37" t="str">
            <v>IPET</v>
          </cell>
          <cell r="H37">
            <v>147027</v>
          </cell>
          <cell r="I37">
            <v>18.4404</v>
          </cell>
        </row>
        <row r="38">
          <cell r="D38" t="str">
            <v>RES137</v>
          </cell>
          <cell r="E38" t="str">
            <v>POLIETILENO 5502</v>
          </cell>
          <cell r="F38" t="str">
            <v>P</v>
          </cell>
          <cell r="G38" t="str">
            <v>IPET</v>
          </cell>
          <cell r="H38">
            <v>71869</v>
          </cell>
          <cell r="I38">
            <v>19.420000000000002</v>
          </cell>
        </row>
        <row r="39">
          <cell r="D39" t="str">
            <v>RES138</v>
          </cell>
          <cell r="E39" t="str">
            <v>POLIAMIDA ULTRAMID C33LN01</v>
          </cell>
          <cell r="F39" t="str">
            <v>P</v>
          </cell>
          <cell r="G39" t="str">
            <v>IPET</v>
          </cell>
          <cell r="H39">
            <v>1826</v>
          </cell>
          <cell r="I39">
            <v>167.76769999999999</v>
          </cell>
        </row>
        <row r="40">
          <cell r="D40" t="str">
            <v>RES139</v>
          </cell>
          <cell r="E40" t="str">
            <v>RESINA ADMER NF458A</v>
          </cell>
          <cell r="F40" t="str">
            <v>P</v>
          </cell>
          <cell r="G40" t="str">
            <v>IPET</v>
          </cell>
          <cell r="H40">
            <v>1</v>
          </cell>
          <cell r="I40">
            <v>70.643100000000004</v>
          </cell>
        </row>
        <row r="41">
          <cell r="D41" t="str">
            <v>MEMP037</v>
          </cell>
          <cell r="E41" t="str">
            <v>BOLSA DE POLIET GARRAFA COEX</v>
          </cell>
          <cell r="F41" t="str">
            <v>P</v>
          </cell>
          <cell r="G41" t="str">
            <v>IBOL</v>
          </cell>
          <cell r="H41">
            <v>450</v>
          </cell>
          <cell r="I41">
            <v>18.3</v>
          </cell>
        </row>
        <row r="42">
          <cell r="D42" t="str">
            <v>MEMP039</v>
          </cell>
          <cell r="E42" t="str">
            <v>BOLSA DE POLIET GARRAFA MONSAN</v>
          </cell>
          <cell r="F42" t="str">
            <v>P</v>
          </cell>
          <cell r="G42" t="str">
            <v>IBOL</v>
          </cell>
          <cell r="H42">
            <v>574</v>
          </cell>
          <cell r="I42">
            <v>16.22</v>
          </cell>
        </row>
        <row r="43">
          <cell r="D43" t="str">
            <v>MEMP013</v>
          </cell>
          <cell r="E43" t="str">
            <v>CHAROLA BLANCA 120 X100 X 8</v>
          </cell>
          <cell r="F43" t="str">
            <v>P</v>
          </cell>
          <cell r="G43" t="str">
            <v>ICHA</v>
          </cell>
          <cell r="H43">
            <v>8670</v>
          </cell>
          <cell r="I43">
            <v>27.018999999999998</v>
          </cell>
        </row>
        <row r="44">
          <cell r="D44" t="str">
            <v>MEMP014</v>
          </cell>
          <cell r="E44" t="str">
            <v>CAJA CARTON 4X5</v>
          </cell>
          <cell r="F44" t="str">
            <v>P</v>
          </cell>
          <cell r="G44" t="str">
            <v>IVAR</v>
          </cell>
          <cell r="H44">
            <v>4248</v>
          </cell>
          <cell r="I44">
            <v>14.9261</v>
          </cell>
        </row>
        <row r="45">
          <cell r="D45" t="str">
            <v>SI022</v>
          </cell>
          <cell r="E45" t="str">
            <v>SELLO 42.95MM CROM 30/12/30 PP</v>
          </cell>
          <cell r="F45" t="str">
            <v>P</v>
          </cell>
          <cell r="G45" t="str">
            <v>ISEL</v>
          </cell>
          <cell r="H45">
            <v>926400</v>
          </cell>
          <cell r="I45">
            <v>0.26300000000000001</v>
          </cell>
        </row>
        <row r="46">
          <cell r="D46" t="str">
            <v>RES027</v>
          </cell>
          <cell r="E46" t="str">
            <v>POLIPROPIL CLARIFICADO SL262MW</v>
          </cell>
          <cell r="F46" t="str">
            <v>P</v>
          </cell>
          <cell r="G46" t="str">
            <v>IPET</v>
          </cell>
          <cell r="H46">
            <v>24525</v>
          </cell>
          <cell r="I46">
            <v>36.645400000000002</v>
          </cell>
        </row>
        <row r="47">
          <cell r="D47" t="str">
            <v>TARIMA2</v>
          </cell>
          <cell r="E47" t="str">
            <v>TARIMA ESPECIAL ARYSTA</v>
          </cell>
          <cell r="F47" t="str">
            <v>P</v>
          </cell>
          <cell r="G47" t="str">
            <v>ICHA</v>
          </cell>
          <cell r="H47">
            <v>497</v>
          </cell>
          <cell r="I47">
            <v>120</v>
          </cell>
        </row>
        <row r="48">
          <cell r="D48" t="str">
            <v>MEMP017</v>
          </cell>
          <cell r="E48" t="str">
            <v>CAJA GARRAFA POL EMP 4X5</v>
          </cell>
          <cell r="F48" t="str">
            <v>P</v>
          </cell>
          <cell r="G48" t="str">
            <v>ICAJ</v>
          </cell>
          <cell r="H48">
            <v>2755</v>
          </cell>
          <cell r="I48">
            <v>17.558399999999999</v>
          </cell>
        </row>
        <row r="49">
          <cell r="D49" t="str">
            <v>PIG268</v>
          </cell>
          <cell r="E49" t="str">
            <v>PIGMENTO ROJO CC011061979PG</v>
          </cell>
          <cell r="F49" t="str">
            <v>P</v>
          </cell>
          <cell r="G49" t="str">
            <v>IPIG</v>
          </cell>
          <cell r="H49">
            <v>20</v>
          </cell>
          <cell r="I49">
            <v>920.34500000000003</v>
          </cell>
        </row>
        <row r="50">
          <cell r="D50" t="str">
            <v>PIG011</v>
          </cell>
          <cell r="E50" t="str">
            <v>MASTER BLANCO PWI 8000 WHI</v>
          </cell>
          <cell r="F50" t="str">
            <v>P</v>
          </cell>
          <cell r="G50" t="str">
            <v>IPIG</v>
          </cell>
          <cell r="H50">
            <v>2270</v>
          </cell>
          <cell r="I50">
            <v>82.537000000000006</v>
          </cell>
        </row>
        <row r="51">
          <cell r="D51" t="str">
            <v>MEMP043</v>
          </cell>
          <cell r="E51" t="str">
            <v>BOLSA 160X110X15X CAL 200 KIM</v>
          </cell>
          <cell r="F51" t="str">
            <v>P</v>
          </cell>
          <cell r="G51" t="str">
            <v>IPEL</v>
          </cell>
          <cell r="H51">
            <v>4377</v>
          </cell>
          <cell r="I51">
            <v>8.0556000000000001</v>
          </cell>
        </row>
        <row r="52">
          <cell r="D52" t="str">
            <v>SI019</v>
          </cell>
          <cell r="E52" t="str">
            <v>LINER 45 MM DORADO C</v>
          </cell>
          <cell r="F52" t="str">
            <v>M</v>
          </cell>
          <cell r="G52" t="str">
            <v>ISEL</v>
          </cell>
          <cell r="H52">
            <v>1000000</v>
          </cell>
          <cell r="I52">
            <v>0.20449999999999999</v>
          </cell>
        </row>
        <row r="53">
          <cell r="D53" t="str">
            <v>RES028</v>
          </cell>
          <cell r="E53" t="str">
            <v>POLIPROPILENO AXELEN 12RN</v>
          </cell>
          <cell r="F53" t="str">
            <v>P</v>
          </cell>
          <cell r="G53" t="str">
            <v>IPET</v>
          </cell>
          <cell r="H53">
            <v>250</v>
          </cell>
          <cell r="I53">
            <v>26.618400000000001</v>
          </cell>
        </row>
        <row r="54">
          <cell r="D54" t="str">
            <v>BLGS030</v>
          </cell>
          <cell r="E54" t="str">
            <v>BOTELLA LIGHTSTAR</v>
          </cell>
          <cell r="F54" t="str">
            <v>O</v>
          </cell>
          <cell r="G54" t="str">
            <v>IBOT</v>
          </cell>
          <cell r="H54">
            <v>520</v>
          </cell>
          <cell r="I54">
            <v>2.4056000000000002</v>
          </cell>
        </row>
        <row r="55">
          <cell r="D55" t="str">
            <v>BTWS010</v>
          </cell>
          <cell r="E55" t="str">
            <v>TWISTAR UN LITRO TRANSPARENTE</v>
          </cell>
          <cell r="F55" t="str">
            <v>O</v>
          </cell>
          <cell r="G55" t="str">
            <v>IBOT</v>
          </cell>
          <cell r="H55">
            <v>1035</v>
          </cell>
          <cell r="I55">
            <v>2.6175000000000002</v>
          </cell>
        </row>
        <row r="56">
          <cell r="D56" t="str">
            <v>BTWS040</v>
          </cell>
          <cell r="E56" t="str">
            <v>TWISTAR DE UN LITRO BLANCO</v>
          </cell>
          <cell r="F56" t="str">
            <v>O</v>
          </cell>
          <cell r="G56" t="str">
            <v>IBOT</v>
          </cell>
          <cell r="H56">
            <v>1504</v>
          </cell>
          <cell r="I56">
            <v>2.7951999999999999</v>
          </cell>
        </row>
        <row r="57">
          <cell r="D57" t="str">
            <v>BTWS050</v>
          </cell>
          <cell r="E57" t="str">
            <v>TWISTAR DE UN LITRO ALUMINIO</v>
          </cell>
          <cell r="F57" t="str">
            <v>O</v>
          </cell>
          <cell r="G57" t="str">
            <v>IBOT</v>
          </cell>
          <cell r="H57">
            <v>528</v>
          </cell>
          <cell r="I57">
            <v>2.7376999999999998</v>
          </cell>
        </row>
        <row r="58">
          <cell r="D58" t="str">
            <v>BTWS070</v>
          </cell>
          <cell r="E58" t="str">
            <v>TWISTAR DE UN LITRO NEGRO</v>
          </cell>
          <cell r="F58" t="str">
            <v>O</v>
          </cell>
          <cell r="G58" t="str">
            <v>IBOT</v>
          </cell>
          <cell r="H58">
            <v>528</v>
          </cell>
          <cell r="I58">
            <v>2.5083000000000002</v>
          </cell>
        </row>
        <row r="59">
          <cell r="D59" t="str">
            <v>BTWS110</v>
          </cell>
          <cell r="E59" t="str">
            <v>TWISTAR DE 250 ML TRANSPARENTE</v>
          </cell>
          <cell r="F59" t="str">
            <v>O</v>
          </cell>
          <cell r="G59" t="str">
            <v>IBOT</v>
          </cell>
          <cell r="H59">
            <v>293</v>
          </cell>
          <cell r="I59">
            <v>1.5601</v>
          </cell>
        </row>
        <row r="60">
          <cell r="D60" t="str">
            <v>BTWS150</v>
          </cell>
          <cell r="E60" t="str">
            <v>TWISTAR DE 250 ML BLANCA</v>
          </cell>
          <cell r="F60" t="str">
            <v>O</v>
          </cell>
          <cell r="G60" t="str">
            <v>IBOT</v>
          </cell>
          <cell r="H60">
            <v>1021</v>
          </cell>
          <cell r="I60">
            <v>1.333</v>
          </cell>
        </row>
        <row r="61">
          <cell r="D61" t="str">
            <v>BTWS220</v>
          </cell>
          <cell r="E61" t="str">
            <v>TWISTAR DE 500 ML TRANSPARENTE</v>
          </cell>
          <cell r="F61" t="str">
            <v>O</v>
          </cell>
          <cell r="G61" t="str">
            <v>LBOT</v>
          </cell>
          <cell r="H61">
            <v>81</v>
          </cell>
          <cell r="I61">
            <v>1.9395</v>
          </cell>
        </row>
        <row r="62">
          <cell r="D62" t="str">
            <v>BTWS250</v>
          </cell>
          <cell r="E62" t="str">
            <v>TWISTAR DE 500 ML BLANCO</v>
          </cell>
          <cell r="F62" t="str">
            <v>S</v>
          </cell>
          <cell r="G62" t="str">
            <v>IBOT</v>
          </cell>
          <cell r="H62">
            <v>556</v>
          </cell>
          <cell r="I62">
            <v>1.8310999999999999</v>
          </cell>
        </row>
        <row r="63">
          <cell r="D63" t="str">
            <v>BZE030</v>
          </cell>
          <cell r="E63" t="str">
            <v>ZENECA 6 COSTILLAS 1L BLANCO</v>
          </cell>
          <cell r="F63" t="str">
            <v>O</v>
          </cell>
          <cell r="G63" t="str">
            <v>IBOT</v>
          </cell>
          <cell r="H63">
            <v>427</v>
          </cell>
          <cell r="I63">
            <v>3.4306000000000001</v>
          </cell>
        </row>
        <row r="64">
          <cell r="D64" t="str">
            <v>BZE040</v>
          </cell>
          <cell r="E64" t="str">
            <v>ZENECA 7 COSTILLAS 1L TRANSPAR</v>
          </cell>
          <cell r="F64" t="str">
            <v>O</v>
          </cell>
          <cell r="G64" t="str">
            <v>IBOT</v>
          </cell>
          <cell r="H64">
            <v>632</v>
          </cell>
          <cell r="I64">
            <v>1.2615000000000001</v>
          </cell>
        </row>
        <row r="65">
          <cell r="D65" t="str">
            <v>BZE060</v>
          </cell>
          <cell r="E65" t="str">
            <v>ZENECA 7 COSTILLAS 1L BLANCO</v>
          </cell>
          <cell r="F65" t="str">
            <v>O</v>
          </cell>
          <cell r="G65" t="str">
            <v>IBOT</v>
          </cell>
          <cell r="H65">
            <v>589</v>
          </cell>
          <cell r="I65">
            <v>2.1478999999999999</v>
          </cell>
        </row>
        <row r="66">
          <cell r="D66" t="str">
            <v>T45020</v>
          </cell>
          <cell r="E66" t="str">
            <v>TAPA 45 BLANCA  LINER IND ING</v>
          </cell>
          <cell r="F66" t="str">
            <v>O</v>
          </cell>
          <cell r="G66" t="str">
            <v>ITAP</v>
          </cell>
          <cell r="H66">
            <v>1221</v>
          </cell>
          <cell r="I66">
            <v>0.47810000000000002</v>
          </cell>
        </row>
        <row r="67">
          <cell r="D67" t="str">
            <v>T45030</v>
          </cell>
          <cell r="E67" t="str">
            <v>TAPA 45   BLANCA C/LINER IND</v>
          </cell>
          <cell r="F67" t="str">
            <v>M</v>
          </cell>
          <cell r="G67" t="str">
            <v>IBOT</v>
          </cell>
          <cell r="H67">
            <v>758</v>
          </cell>
          <cell r="I67">
            <v>0.69899999999999995</v>
          </cell>
        </row>
        <row r="68">
          <cell r="D68" t="str">
            <v>T45100</v>
          </cell>
          <cell r="E68" t="str">
            <v>TAPA 45 VERDE C/LINER IND</v>
          </cell>
          <cell r="F68" t="str">
            <v>O</v>
          </cell>
          <cell r="G68" t="str">
            <v>ITAP</v>
          </cell>
          <cell r="H68">
            <v>1270</v>
          </cell>
          <cell r="I68">
            <v>0.50080000000000002</v>
          </cell>
        </row>
        <row r="69">
          <cell r="D69" t="str">
            <v>T63020</v>
          </cell>
          <cell r="E69" t="str">
            <v>TAPA 63   BLANCA C/LINER IND</v>
          </cell>
          <cell r="F69" t="str">
            <v>O</v>
          </cell>
          <cell r="G69" t="str">
            <v>ITAP</v>
          </cell>
          <cell r="H69">
            <v>1200</v>
          </cell>
          <cell r="I69">
            <v>0.94310000000000005</v>
          </cell>
        </row>
        <row r="70">
          <cell r="D70" t="str">
            <v>T63030</v>
          </cell>
          <cell r="E70" t="str">
            <v>TAPA 63   BLANCA C/LINER IND</v>
          </cell>
          <cell r="F70" t="str">
            <v>O</v>
          </cell>
          <cell r="G70" t="str">
            <v>ITAP</v>
          </cell>
          <cell r="H70">
            <v>819</v>
          </cell>
          <cell r="I70">
            <v>1.0341</v>
          </cell>
        </row>
        <row r="71">
          <cell r="D71" t="str">
            <v>T63100</v>
          </cell>
          <cell r="E71" t="str">
            <v>TAPA 63   VERDE C/LINER IND</v>
          </cell>
          <cell r="F71" t="str">
            <v>O</v>
          </cell>
          <cell r="G71" t="str">
            <v>ITAP</v>
          </cell>
          <cell r="H71">
            <v>1888</v>
          </cell>
          <cell r="I71">
            <v>0.90649999999999997</v>
          </cell>
        </row>
        <row r="72">
          <cell r="D72" t="str">
            <v>BTWS500</v>
          </cell>
          <cell r="E72" t="str">
            <v>TWISTAR 125ML TRANSPARENTE</v>
          </cell>
          <cell r="F72" t="str">
            <v>O</v>
          </cell>
          <cell r="G72" t="str">
            <v>IBOT</v>
          </cell>
          <cell r="H72">
            <v>1137</v>
          </cell>
          <cell r="I72">
            <v>2.0047000000000001</v>
          </cell>
        </row>
        <row r="73">
          <cell r="D73" t="str">
            <v>BTWS520</v>
          </cell>
          <cell r="E73" t="str">
            <v>TWISTAR 125ML BLANCA 11164</v>
          </cell>
          <cell r="F73" t="str">
            <v>S</v>
          </cell>
          <cell r="G73" t="str">
            <v>IBOT</v>
          </cell>
          <cell r="H73">
            <v>1281</v>
          </cell>
          <cell r="I73">
            <v>1.1837</v>
          </cell>
        </row>
        <row r="74">
          <cell r="D74" t="str">
            <v>BEUR041</v>
          </cell>
          <cell r="E74" t="str">
            <v>BEUR 1 LT BLANCO</v>
          </cell>
          <cell r="F74" t="str">
            <v>O</v>
          </cell>
          <cell r="G74" t="str">
            <v>IBOT</v>
          </cell>
          <cell r="H74">
            <v>501</v>
          </cell>
          <cell r="I74">
            <v>2.0121000000000002</v>
          </cell>
        </row>
        <row r="75">
          <cell r="D75" t="str">
            <v>BTWS630</v>
          </cell>
          <cell r="E75" t="str">
            <v>TWISTAR DE 350 ML BLANCO</v>
          </cell>
          <cell r="F75" t="str">
            <v>O</v>
          </cell>
          <cell r="G75" t="str">
            <v>IBOT</v>
          </cell>
          <cell r="H75">
            <v>1619</v>
          </cell>
          <cell r="I75">
            <v>1.6437999999999999</v>
          </cell>
        </row>
        <row r="76">
          <cell r="D76" t="str">
            <v>P110G010</v>
          </cell>
          <cell r="E76" t="str">
            <v>LIGHTSTAR 5000 TRANPARENTE</v>
          </cell>
          <cell r="F76" t="str">
            <v>S</v>
          </cell>
          <cell r="G76" t="str">
            <v>IBOT</v>
          </cell>
          <cell r="H76">
            <v>321</v>
          </cell>
          <cell r="I76">
            <v>5.8109999999999999</v>
          </cell>
        </row>
        <row r="77">
          <cell r="D77" t="str">
            <v>GA5L040</v>
          </cell>
          <cell r="E77" t="str">
            <v>TWISTART 5000 BLANCO</v>
          </cell>
          <cell r="F77" t="str">
            <v>O</v>
          </cell>
          <cell r="G77" t="str">
            <v>IBOT</v>
          </cell>
          <cell r="H77">
            <v>84</v>
          </cell>
          <cell r="I77">
            <v>10.486499999999999</v>
          </cell>
        </row>
        <row r="78">
          <cell r="D78" t="str">
            <v>Z120G010</v>
          </cell>
          <cell r="E78" t="str">
            <v>ZEPELIN 5000 TRANSPARENTE</v>
          </cell>
          <cell r="F78" t="str">
            <v>S</v>
          </cell>
          <cell r="G78" t="str">
            <v>IBOT</v>
          </cell>
          <cell r="H78">
            <v>55</v>
          </cell>
          <cell r="I78">
            <v>6.7373000000000003</v>
          </cell>
        </row>
        <row r="79">
          <cell r="D79" t="str">
            <v>GA5L010</v>
          </cell>
          <cell r="E79" t="str">
            <v>TWISTART 5000 TRANSPARENTE</v>
          </cell>
          <cell r="F79" t="str">
            <v>O</v>
          </cell>
          <cell r="G79" t="str">
            <v>IBOT</v>
          </cell>
          <cell r="H79">
            <v>49</v>
          </cell>
          <cell r="I79">
            <v>11.294700000000001</v>
          </cell>
        </row>
        <row r="80">
          <cell r="D80" t="str">
            <v>EMS041</v>
          </cell>
          <cell r="E80" t="str">
            <v>EMPECOMISIL LITRO BLANCO</v>
          </cell>
          <cell r="F80" t="str">
            <v>O</v>
          </cell>
          <cell r="G80" t="str">
            <v>IBOT</v>
          </cell>
          <cell r="H80">
            <v>620</v>
          </cell>
          <cell r="I80">
            <v>2.9474999999999998</v>
          </cell>
        </row>
        <row r="81">
          <cell r="D81" t="str">
            <v>EMS042</v>
          </cell>
          <cell r="E81" t="str">
            <v>MISIL 56 GRS BLANCO</v>
          </cell>
          <cell r="F81" t="str">
            <v>O</v>
          </cell>
          <cell r="G81" t="str">
            <v>IBOT</v>
          </cell>
          <cell r="H81">
            <v>169</v>
          </cell>
          <cell r="I81">
            <v>2.1673</v>
          </cell>
        </row>
        <row r="82">
          <cell r="D82" t="str">
            <v>VIAL003</v>
          </cell>
          <cell r="E82" t="str">
            <v>VIAL 500 ML AMBAR</v>
          </cell>
          <cell r="F82" t="str">
            <v>S</v>
          </cell>
          <cell r="G82" t="str">
            <v>IBOT</v>
          </cell>
          <cell r="H82">
            <v>693</v>
          </cell>
          <cell r="I82">
            <v>3.3047</v>
          </cell>
        </row>
        <row r="83">
          <cell r="D83" t="str">
            <v>T63911</v>
          </cell>
          <cell r="E83" t="str">
            <v>TAPA 63 DOSIFICADORA NATURAL</v>
          </cell>
          <cell r="F83" t="str">
            <v>S</v>
          </cell>
          <cell r="G83" t="str">
            <v>ITAP</v>
          </cell>
          <cell r="H83">
            <v>725</v>
          </cell>
          <cell r="I83">
            <v>0.5998</v>
          </cell>
        </row>
        <row r="84">
          <cell r="D84" t="str">
            <v>K-PAX-C-001</v>
          </cell>
          <cell r="E84" t="str">
            <v>EMPECO 10 LTS COEX BLANCO</v>
          </cell>
          <cell r="F84" t="str">
            <v>S</v>
          </cell>
          <cell r="G84" t="str">
            <v>GARR</v>
          </cell>
          <cell r="H84">
            <v>49</v>
          </cell>
          <cell r="I84">
            <v>26.498100000000001</v>
          </cell>
        </row>
        <row r="85">
          <cell r="D85" t="str">
            <v>S-PAX-C-001</v>
          </cell>
          <cell r="E85" t="str">
            <v>SYNGENTA 5 LTS COEX BLANCO</v>
          </cell>
          <cell r="F85" t="str">
            <v>M</v>
          </cell>
          <cell r="G85" t="str">
            <v>GARR</v>
          </cell>
          <cell r="H85">
            <v>98</v>
          </cell>
          <cell r="I85">
            <v>17.880700000000001</v>
          </cell>
        </row>
        <row r="86">
          <cell r="D86" t="str">
            <v>MZ-PAX-001</v>
          </cell>
          <cell r="E86" t="str">
            <v>MONSANTO 10 LITROS MONO BLANCO</v>
          </cell>
          <cell r="F86" t="str">
            <v>M</v>
          </cell>
          <cell r="G86" t="str">
            <v>GARR</v>
          </cell>
          <cell r="H86">
            <v>34</v>
          </cell>
          <cell r="I86">
            <v>42.121699999999997</v>
          </cell>
        </row>
        <row r="87">
          <cell r="D87" t="str">
            <v>ST-PAX-001</v>
          </cell>
          <cell r="E87" t="str">
            <v>SYNGENTA 10 LITROS MONO BLANCO</v>
          </cell>
          <cell r="F87" t="str">
            <v>S</v>
          </cell>
          <cell r="G87" t="str">
            <v>GARR</v>
          </cell>
          <cell r="H87">
            <v>42</v>
          </cell>
          <cell r="I87">
            <v>20.768899999999999</v>
          </cell>
        </row>
        <row r="88">
          <cell r="D88" t="str">
            <v>K-PAX-M-001</v>
          </cell>
          <cell r="E88" t="str">
            <v>EMPECO 10 LTS MONO BLANCO</v>
          </cell>
          <cell r="F88" t="str">
            <v>S</v>
          </cell>
          <cell r="G88" t="str">
            <v>GARR</v>
          </cell>
          <cell r="H88">
            <v>52</v>
          </cell>
          <cell r="I88">
            <v>15.125400000000001</v>
          </cell>
        </row>
        <row r="89">
          <cell r="D89" t="str">
            <v>S-PAX-M-001</v>
          </cell>
          <cell r="E89" t="str">
            <v>SYNGENTA 5 LITROS MONO BLANCO</v>
          </cell>
          <cell r="F89" t="str">
            <v>S</v>
          </cell>
          <cell r="G89" t="str">
            <v>GARR</v>
          </cell>
          <cell r="H89">
            <v>71</v>
          </cell>
          <cell r="I89">
            <v>10.6564</v>
          </cell>
        </row>
        <row r="90">
          <cell r="D90" t="str">
            <v>S-PAX-M-002</v>
          </cell>
          <cell r="E90" t="str">
            <v>SYNGENTA 5 LITROS MONO NATURAL</v>
          </cell>
          <cell r="F90" t="str">
            <v>S</v>
          </cell>
          <cell r="G90" t="str">
            <v>GARR</v>
          </cell>
          <cell r="H90">
            <v>137</v>
          </cell>
          <cell r="I90">
            <v>10.105600000000001</v>
          </cell>
        </row>
        <row r="91">
          <cell r="D91" t="str">
            <v>BTWS800</v>
          </cell>
          <cell r="E91" t="str">
            <v>BOT TWISTAR 150ML BLANCA</v>
          </cell>
          <cell r="F91" t="str">
            <v>S</v>
          </cell>
          <cell r="G91" t="str">
            <v>IBOT</v>
          </cell>
          <cell r="H91">
            <v>1216</v>
          </cell>
          <cell r="I91">
            <v>1.3</v>
          </cell>
        </row>
        <row r="92">
          <cell r="D92" t="str">
            <v>T63912</v>
          </cell>
          <cell r="E92" t="str">
            <v>VASO TRIANGULAR DOSIFIC NATURA</v>
          </cell>
          <cell r="F92" t="str">
            <v>S</v>
          </cell>
          <cell r="G92" t="str">
            <v>IBOT</v>
          </cell>
          <cell r="H92">
            <v>696</v>
          </cell>
          <cell r="I92">
            <v>0.62290000000000001</v>
          </cell>
        </row>
        <row r="93">
          <cell r="D93" t="str">
            <v>EMS090</v>
          </cell>
          <cell r="E93" t="str">
            <v>BOTELLA CUADRADA LITRO BLANCA</v>
          </cell>
          <cell r="F93" t="str">
            <v>S</v>
          </cell>
          <cell r="G93" t="str">
            <v>IBOT</v>
          </cell>
          <cell r="H93">
            <v>685</v>
          </cell>
          <cell r="I93">
            <v>2.0623999999999998</v>
          </cell>
        </row>
        <row r="94">
          <cell r="D94" t="str">
            <v>1502-030-038</v>
          </cell>
          <cell r="E94" t="str">
            <v>OVAL SYRUP 24 OZ</v>
          </cell>
          <cell r="F94" t="str">
            <v>S</v>
          </cell>
          <cell r="G94" t="str">
            <v>IBOT</v>
          </cell>
          <cell r="H94">
            <v>591</v>
          </cell>
          <cell r="I94">
            <v>1.9434</v>
          </cell>
        </row>
        <row r="95">
          <cell r="D95" t="str">
            <v>1502-030-084</v>
          </cell>
          <cell r="E95" t="str">
            <v>JARABE DE MAPLE CRISTAL</v>
          </cell>
          <cell r="F95" t="str">
            <v>M</v>
          </cell>
          <cell r="G95" t="str">
            <v>IBOT</v>
          </cell>
          <cell r="H95">
            <v>20</v>
          </cell>
          <cell r="I95">
            <v>2.9068000000000001</v>
          </cell>
        </row>
        <row r="96">
          <cell r="D96" t="str">
            <v>BTWS215</v>
          </cell>
          <cell r="E96" t="str">
            <v>OVAL 250 ML CRISTAL</v>
          </cell>
          <cell r="F96" t="str">
            <v>M</v>
          </cell>
          <cell r="G96" t="str">
            <v>IBOT</v>
          </cell>
          <cell r="H96">
            <v>1950</v>
          </cell>
          <cell r="I96">
            <v>1.3190999999999999</v>
          </cell>
        </row>
        <row r="97">
          <cell r="D97" t="str">
            <v>BTWS562</v>
          </cell>
          <cell r="E97" t="str">
            <v>OVAL 125ML CRISTAL</v>
          </cell>
          <cell r="F97" t="str">
            <v>M</v>
          </cell>
          <cell r="G97" t="str">
            <v>IBOT</v>
          </cell>
          <cell r="H97">
            <v>1357</v>
          </cell>
          <cell r="I97">
            <v>0.64600000000000002</v>
          </cell>
        </row>
        <row r="98">
          <cell r="D98" t="str">
            <v>1502-999-010</v>
          </cell>
          <cell r="E98" t="str">
            <v>PRONTO PET 170 ML CRISTAL</v>
          </cell>
          <cell r="F98" t="str">
            <v>S</v>
          </cell>
          <cell r="G98" t="str">
            <v>IBOT</v>
          </cell>
          <cell r="H98">
            <v>1500</v>
          </cell>
          <cell r="I98">
            <v>1.2476</v>
          </cell>
        </row>
        <row r="99">
          <cell r="D99">
            <v>2091792</v>
          </cell>
          <cell r="E99" t="str">
            <v>BOSTON 1 LT NATURAL 50G</v>
          </cell>
          <cell r="F99" t="str">
            <v>M</v>
          </cell>
          <cell r="G99" t="str">
            <v>IBOT</v>
          </cell>
          <cell r="H99">
            <v>607</v>
          </cell>
          <cell r="I99">
            <v>2.2067999999999999</v>
          </cell>
        </row>
        <row r="100">
          <cell r="D100">
            <v>10130</v>
          </cell>
          <cell r="E100" t="str">
            <v>OVAL 320 ML CRISTAL</v>
          </cell>
          <cell r="F100" t="str">
            <v>S</v>
          </cell>
          <cell r="G100" t="str">
            <v>IBOT</v>
          </cell>
          <cell r="H100">
            <v>1214</v>
          </cell>
          <cell r="I100">
            <v>1.2161</v>
          </cell>
        </row>
        <row r="101">
          <cell r="D101" t="str">
            <v>1502-999-014</v>
          </cell>
          <cell r="E101" t="str">
            <v>SQUEEZE PET 250 ML CRISTAL</v>
          </cell>
          <cell r="F101" t="str">
            <v>S</v>
          </cell>
          <cell r="G101" t="str">
            <v>IBOT</v>
          </cell>
          <cell r="H101">
            <v>1200</v>
          </cell>
          <cell r="I101">
            <v>1.3947000000000001</v>
          </cell>
        </row>
        <row r="102">
          <cell r="D102">
            <v>231175</v>
          </cell>
          <cell r="E102" t="str">
            <v>BOSTON 60 ML NATURAL</v>
          </cell>
          <cell r="F102" t="str">
            <v>S</v>
          </cell>
          <cell r="G102" t="str">
            <v>IBOT</v>
          </cell>
          <cell r="H102">
            <v>4335</v>
          </cell>
          <cell r="I102">
            <v>0.80759999999999998</v>
          </cell>
        </row>
        <row r="103">
          <cell r="D103">
            <v>231176</v>
          </cell>
          <cell r="E103" t="str">
            <v>BOSTON 100 ML BLANCO</v>
          </cell>
          <cell r="F103" t="str">
            <v>S</v>
          </cell>
          <cell r="G103" t="str">
            <v>IBOT</v>
          </cell>
          <cell r="H103">
            <v>2507</v>
          </cell>
          <cell r="I103">
            <v>0.88829999999999998</v>
          </cell>
        </row>
        <row r="104">
          <cell r="D104" t="str">
            <v>ME129</v>
          </cell>
          <cell r="E104" t="str">
            <v>OVAL 200 ML CRISTAL</v>
          </cell>
          <cell r="F104" t="str">
            <v>M</v>
          </cell>
          <cell r="G104" t="str">
            <v>IBOT</v>
          </cell>
          <cell r="H104">
            <v>1188</v>
          </cell>
          <cell r="I104">
            <v>1.2453000000000001</v>
          </cell>
        </row>
        <row r="105">
          <cell r="D105" t="str">
            <v>2002-010-086</v>
          </cell>
          <cell r="E105" t="str">
            <v>Botella panal 709 ml  (1kg)</v>
          </cell>
          <cell r="F105" t="str">
            <v>S</v>
          </cell>
          <cell r="G105" t="str">
            <v>IBOT</v>
          </cell>
          <cell r="H105">
            <v>720</v>
          </cell>
          <cell r="I105">
            <v>1.7021999999999999</v>
          </cell>
        </row>
        <row r="106">
          <cell r="D106">
            <v>231177</v>
          </cell>
          <cell r="E106" t="str">
            <v>PIRAMIDAD 500ML C2828GR CRISTA</v>
          </cell>
          <cell r="F106" t="str">
            <v>S</v>
          </cell>
          <cell r="G106" t="str">
            <v>IBOT</v>
          </cell>
          <cell r="H106">
            <v>1195</v>
          </cell>
          <cell r="I106">
            <v>1.1771</v>
          </cell>
        </row>
        <row r="107">
          <cell r="D107" t="str">
            <v>EMS101</v>
          </cell>
          <cell r="E107" t="str">
            <v>MISIL 1LT C5072GR CRISTAL</v>
          </cell>
          <cell r="F107" t="str">
            <v>S</v>
          </cell>
          <cell r="G107" t="str">
            <v>IBOT</v>
          </cell>
          <cell r="H107">
            <v>219</v>
          </cell>
          <cell r="I107">
            <v>3.2761</v>
          </cell>
        </row>
        <row r="108">
          <cell r="D108">
            <v>231178</v>
          </cell>
          <cell r="E108" t="str">
            <v>PIRAMIDAD 1.2L C2850GR CRISTAL</v>
          </cell>
          <cell r="F108" t="str">
            <v>S</v>
          </cell>
          <cell r="G108" t="str">
            <v>IBOT</v>
          </cell>
          <cell r="H108">
            <v>798</v>
          </cell>
          <cell r="I108">
            <v>2.0114000000000001</v>
          </cell>
        </row>
        <row r="109">
          <cell r="D109" t="str">
            <v>T50020</v>
          </cell>
          <cell r="E109" t="str">
            <v>TAPA 50 BLANCA C/LINER DORADO</v>
          </cell>
          <cell r="F109" t="str">
            <v>S</v>
          </cell>
          <cell r="G109" t="str">
            <v>ITAP</v>
          </cell>
          <cell r="H109">
            <v>7523</v>
          </cell>
          <cell r="I109">
            <v>0.64229999999999998</v>
          </cell>
        </row>
        <row r="110">
          <cell r="D110" t="str">
            <v>T50020AC</v>
          </cell>
          <cell r="E110" t="str">
            <v>TAPA 50 BLANCA C/C L.DORADO</v>
          </cell>
          <cell r="F110" t="str">
            <v>M</v>
          </cell>
          <cell r="G110" t="str">
            <v>ITAP</v>
          </cell>
          <cell r="H110">
            <v>3077</v>
          </cell>
          <cell r="I110">
            <v>0.35780000000000001</v>
          </cell>
        </row>
        <row r="111">
          <cell r="D111" t="str">
            <v>T50031</v>
          </cell>
          <cell r="E111" t="str">
            <v>TAPA 50 BLANCA FMC L.PLATEADO</v>
          </cell>
          <cell r="F111" t="str">
            <v>M</v>
          </cell>
          <cell r="G111" t="str">
            <v>ITAP</v>
          </cell>
          <cell r="H111">
            <v>900</v>
          </cell>
          <cell r="I111">
            <v>0.70830000000000004</v>
          </cell>
        </row>
        <row r="112">
          <cell r="D112" t="str">
            <v>T50030AC</v>
          </cell>
          <cell r="E112" t="str">
            <v>TAPA 50BLANCA C/C L.PLATEADO</v>
          </cell>
          <cell r="F112" t="str">
            <v>M</v>
          </cell>
          <cell r="G112" t="str">
            <v>ITAP</v>
          </cell>
          <cell r="H112">
            <v>9417</v>
          </cell>
          <cell r="I112">
            <v>0.73950000000000005</v>
          </cell>
        </row>
        <row r="113">
          <cell r="D113" t="str">
            <v>T50030</v>
          </cell>
          <cell r="E113" t="str">
            <v>TAPA 50BLANCA C/LINER PLATEADO</v>
          </cell>
          <cell r="F113" t="str">
            <v>M</v>
          </cell>
          <cell r="G113" t="str">
            <v>ITAP</v>
          </cell>
          <cell r="H113">
            <v>6327</v>
          </cell>
          <cell r="I113">
            <v>0.68430000000000002</v>
          </cell>
        </row>
        <row r="114">
          <cell r="D114" t="str">
            <v>EMS102</v>
          </cell>
          <cell r="E114" t="str">
            <v>MISIL 1L C50 72GR BLANCO</v>
          </cell>
          <cell r="F114" t="str">
            <v>S</v>
          </cell>
          <cell r="G114" t="str">
            <v>IBOT</v>
          </cell>
          <cell r="H114">
            <v>560</v>
          </cell>
          <cell r="I114">
            <v>3.6131000000000002</v>
          </cell>
        </row>
        <row r="115">
          <cell r="D115">
            <v>231181</v>
          </cell>
          <cell r="E115" t="str">
            <v>BOTELLA ADITIVO 250ML CRISTAL</v>
          </cell>
          <cell r="F115" t="str">
            <v>S</v>
          </cell>
          <cell r="G115" t="str">
            <v>IBOT</v>
          </cell>
          <cell r="H115">
            <v>1439</v>
          </cell>
          <cell r="I115">
            <v>1.3894</v>
          </cell>
        </row>
        <row r="116">
          <cell r="D116">
            <v>231182</v>
          </cell>
          <cell r="E116" t="str">
            <v>BOTELLA ADITIVO 250ML BLANCO</v>
          </cell>
          <cell r="F116" t="str">
            <v>S</v>
          </cell>
          <cell r="G116" t="str">
            <v>IBOT</v>
          </cell>
          <cell r="H116">
            <v>1136</v>
          </cell>
          <cell r="I116">
            <v>1.3696999999999999</v>
          </cell>
        </row>
        <row r="117">
          <cell r="D117">
            <v>231183</v>
          </cell>
          <cell r="E117" t="str">
            <v>BOTELLA ADITIVO 250ML NEGRO</v>
          </cell>
          <cell r="F117" t="str">
            <v>S</v>
          </cell>
          <cell r="G117" t="str">
            <v>IBOT</v>
          </cell>
          <cell r="H117">
            <v>1067</v>
          </cell>
          <cell r="I117">
            <v>1.3784000000000001</v>
          </cell>
        </row>
        <row r="118">
          <cell r="D118">
            <v>231184</v>
          </cell>
          <cell r="E118" t="str">
            <v>BOTELLA ADITIVO 355ML CRISTAL</v>
          </cell>
          <cell r="F118" t="str">
            <v>S</v>
          </cell>
          <cell r="G118" t="str">
            <v>IBOT</v>
          </cell>
          <cell r="H118">
            <v>1841</v>
          </cell>
          <cell r="I118">
            <v>1.4529000000000001</v>
          </cell>
        </row>
        <row r="119">
          <cell r="D119">
            <v>231185</v>
          </cell>
          <cell r="E119" t="str">
            <v>BOTELLA ADITIVO 355ML BLANCO</v>
          </cell>
          <cell r="F119" t="str">
            <v>S</v>
          </cell>
          <cell r="G119" t="str">
            <v>IBOT</v>
          </cell>
          <cell r="H119">
            <v>1293</v>
          </cell>
          <cell r="I119">
            <v>1.6067</v>
          </cell>
        </row>
        <row r="120">
          <cell r="D120" t="str">
            <v>EMS209</v>
          </cell>
          <cell r="E120" t="str">
            <v>MISL CC 110 G BLANCO</v>
          </cell>
          <cell r="F120" t="str">
            <v>S</v>
          </cell>
          <cell r="G120" t="str">
            <v>IBOT</v>
          </cell>
          <cell r="H120">
            <v>471</v>
          </cell>
          <cell r="I120">
            <v>5.9725999999999999</v>
          </cell>
        </row>
        <row r="121">
          <cell r="D121" t="str">
            <v>EMS201</v>
          </cell>
          <cell r="E121" t="str">
            <v>MISIL CC 75 G BLANCO</v>
          </cell>
          <cell r="F121" t="str">
            <v>S</v>
          </cell>
          <cell r="G121" t="str">
            <v>IBOT</v>
          </cell>
          <cell r="H121">
            <v>981</v>
          </cell>
          <cell r="I121">
            <v>4.9659000000000004</v>
          </cell>
        </row>
        <row r="122">
          <cell r="D122" t="str">
            <v>EMS217</v>
          </cell>
          <cell r="E122" t="str">
            <v>MISIL CC 120 G BLANCO</v>
          </cell>
          <cell r="F122" t="str">
            <v>S</v>
          </cell>
          <cell r="G122" t="str">
            <v>IBOT</v>
          </cell>
          <cell r="H122">
            <v>834</v>
          </cell>
          <cell r="I122">
            <v>6.5216000000000003</v>
          </cell>
        </row>
        <row r="123">
          <cell r="D123" t="str">
            <v>EMS213</v>
          </cell>
          <cell r="E123" t="str">
            <v>MISIL CL 110 G BLANCO</v>
          </cell>
          <cell r="F123" t="str">
            <v>S</v>
          </cell>
          <cell r="G123" t="str">
            <v>IBOT</v>
          </cell>
          <cell r="H123">
            <v>499</v>
          </cell>
          <cell r="I123">
            <v>5.8009000000000004</v>
          </cell>
        </row>
        <row r="124">
          <cell r="D124">
            <v>231169</v>
          </cell>
          <cell r="E124" t="str">
            <v>BOTELLA CILINDRICA 100 ML GRIS</v>
          </cell>
          <cell r="F124" t="str">
            <v>S</v>
          </cell>
          <cell r="G124" t="str">
            <v>IBOT</v>
          </cell>
          <cell r="H124">
            <v>720</v>
          </cell>
          <cell r="I124">
            <v>1.1102000000000001</v>
          </cell>
        </row>
        <row r="125">
          <cell r="D125">
            <v>231170</v>
          </cell>
          <cell r="E125" t="str">
            <v>BOTELLA CILINDRICA 100ML NEGRO</v>
          </cell>
          <cell r="F125" t="str">
            <v>S</v>
          </cell>
          <cell r="G125" t="str">
            <v>IBOT</v>
          </cell>
          <cell r="H125">
            <v>720</v>
          </cell>
          <cell r="I125">
            <v>1.0909</v>
          </cell>
        </row>
        <row r="126">
          <cell r="D126">
            <v>231171</v>
          </cell>
          <cell r="E126" t="str">
            <v>BOSTON 120 ML AMBAR</v>
          </cell>
          <cell r="F126" t="str">
            <v>S</v>
          </cell>
          <cell r="G126" t="str">
            <v>IBOT</v>
          </cell>
          <cell r="H126">
            <v>703</v>
          </cell>
          <cell r="I126">
            <v>1.2022999999999999</v>
          </cell>
        </row>
        <row r="127">
          <cell r="D127">
            <v>231172</v>
          </cell>
          <cell r="E127" t="str">
            <v>BOSTON 100 ML CRISTAL</v>
          </cell>
          <cell r="F127" t="str">
            <v>S</v>
          </cell>
          <cell r="G127" t="str">
            <v>IBOT</v>
          </cell>
          <cell r="H127">
            <v>645</v>
          </cell>
          <cell r="I127">
            <v>1.034</v>
          </cell>
        </row>
        <row r="128">
          <cell r="D128">
            <v>231174</v>
          </cell>
          <cell r="E128" t="str">
            <v>BOSTON 500 ML 24/415 CRISTAL</v>
          </cell>
          <cell r="F128" t="str">
            <v>S</v>
          </cell>
          <cell r="G128" t="str">
            <v>IBOT</v>
          </cell>
          <cell r="H128">
            <v>669</v>
          </cell>
          <cell r="I128">
            <v>1.5308999999999999</v>
          </cell>
        </row>
        <row r="129">
          <cell r="D129">
            <v>231187</v>
          </cell>
          <cell r="E129" t="str">
            <v>BOTELLA ADITIVO 250ML AMARILLO</v>
          </cell>
          <cell r="F129" t="str">
            <v>S</v>
          </cell>
          <cell r="G129" t="str">
            <v>IBOT</v>
          </cell>
          <cell r="H129">
            <v>1150</v>
          </cell>
          <cell r="I129">
            <v>1.5427</v>
          </cell>
        </row>
        <row r="130">
          <cell r="D130">
            <v>231188</v>
          </cell>
          <cell r="E130" t="str">
            <v>BOTELLA ADITIVO 250ML ALUMINIO</v>
          </cell>
          <cell r="F130" t="str">
            <v>S</v>
          </cell>
          <cell r="G130" t="str">
            <v>IBOT</v>
          </cell>
          <cell r="H130">
            <v>1150</v>
          </cell>
          <cell r="I130">
            <v>1.44</v>
          </cell>
        </row>
        <row r="131">
          <cell r="D131">
            <v>231189</v>
          </cell>
          <cell r="E131" t="str">
            <v>BOTELLA ADITIVO 355ML ALUMINIO</v>
          </cell>
          <cell r="F131" t="str">
            <v>S</v>
          </cell>
          <cell r="G131" t="str">
            <v>IBOT</v>
          </cell>
          <cell r="H131">
            <v>972</v>
          </cell>
          <cell r="I131">
            <v>1.6135999999999999</v>
          </cell>
        </row>
        <row r="132">
          <cell r="D132">
            <v>231191</v>
          </cell>
          <cell r="E132" t="str">
            <v>BOTELLA ADITIVO 355ML VERDE SA</v>
          </cell>
          <cell r="F132" t="str">
            <v>S</v>
          </cell>
          <cell r="G132" t="str">
            <v>IBOT</v>
          </cell>
          <cell r="H132">
            <v>972</v>
          </cell>
          <cell r="I132">
            <v>1.6920999999999999</v>
          </cell>
        </row>
        <row r="133">
          <cell r="D133">
            <v>231192</v>
          </cell>
          <cell r="E133" t="str">
            <v>BOTELLA ADITIVO 355ML AMARILLO</v>
          </cell>
          <cell r="F133" t="str">
            <v>S</v>
          </cell>
          <cell r="G133" t="str">
            <v>IBOT</v>
          </cell>
          <cell r="H133">
            <v>972</v>
          </cell>
          <cell r="I133">
            <v>1.7351000000000001</v>
          </cell>
        </row>
        <row r="134">
          <cell r="D134">
            <v>231193</v>
          </cell>
          <cell r="E134" t="str">
            <v>BOTELLA ADITIVO 355 ML NEGRO</v>
          </cell>
          <cell r="F134" t="str">
            <v>S</v>
          </cell>
          <cell r="G134" t="str">
            <v>IBOT</v>
          </cell>
          <cell r="H134">
            <v>1244</v>
          </cell>
          <cell r="I134">
            <v>1.5652999999999999</v>
          </cell>
        </row>
        <row r="135">
          <cell r="D135">
            <v>231194</v>
          </cell>
          <cell r="E135" t="str">
            <v>BOTELLA ADITIVO 250ML VERDE TR</v>
          </cell>
          <cell r="F135" t="str">
            <v>S</v>
          </cell>
          <cell r="G135" t="str">
            <v>IBOT</v>
          </cell>
          <cell r="H135">
            <v>1164</v>
          </cell>
          <cell r="I135">
            <v>1.601</v>
          </cell>
        </row>
        <row r="136">
          <cell r="D136">
            <v>231195</v>
          </cell>
          <cell r="E136" t="str">
            <v>BOTELLA ADITIVO 250ML VERDE SA</v>
          </cell>
          <cell r="F136" t="str">
            <v>S</v>
          </cell>
          <cell r="G136" t="str">
            <v>IBOT</v>
          </cell>
          <cell r="H136">
            <v>1164</v>
          </cell>
          <cell r="I136">
            <v>1.5019</v>
          </cell>
        </row>
        <row r="137">
          <cell r="D137">
            <v>231196</v>
          </cell>
          <cell r="E137" t="str">
            <v>BOTELLA ADITIVO 250ML AMBAR</v>
          </cell>
          <cell r="F137" t="str">
            <v>S</v>
          </cell>
          <cell r="G137" t="str">
            <v>IBOT</v>
          </cell>
          <cell r="H137">
            <v>1149</v>
          </cell>
          <cell r="I137">
            <v>1.5632999999999999</v>
          </cell>
        </row>
        <row r="138">
          <cell r="D138">
            <v>231197</v>
          </cell>
          <cell r="E138" t="str">
            <v>BOTELLA ADITIVO 355ML AMBAR</v>
          </cell>
          <cell r="F138" t="str">
            <v>S</v>
          </cell>
          <cell r="G138" t="str">
            <v>IBOT</v>
          </cell>
          <cell r="H138">
            <v>972</v>
          </cell>
          <cell r="I138">
            <v>1.7627999999999999</v>
          </cell>
        </row>
        <row r="139">
          <cell r="D139" t="str">
            <v>ME191</v>
          </cell>
          <cell r="E139" t="str">
            <v>SHAMPOO CRISTAL</v>
          </cell>
          <cell r="F139" t="str">
            <v>S</v>
          </cell>
          <cell r="G139" t="str">
            <v>IBOT</v>
          </cell>
          <cell r="H139">
            <v>188</v>
          </cell>
          <cell r="I139">
            <v>2.0266999999999999</v>
          </cell>
        </row>
        <row r="140">
          <cell r="D140">
            <v>231173</v>
          </cell>
          <cell r="E140" t="str">
            <v>BOSTON 500 ML 28/400 CRISTAL</v>
          </cell>
          <cell r="F140" t="str">
            <v>S</v>
          </cell>
          <cell r="G140" t="str">
            <v>IBOT</v>
          </cell>
          <cell r="H140">
            <v>357</v>
          </cell>
          <cell r="I140">
            <v>1.5538000000000001</v>
          </cell>
        </row>
        <row r="141">
          <cell r="D141">
            <v>231190</v>
          </cell>
          <cell r="E141" t="str">
            <v>BOTELLA ADITIVO 355ML VERDE TR</v>
          </cell>
          <cell r="F141" t="str">
            <v>S</v>
          </cell>
          <cell r="G141" t="str">
            <v>IBOT</v>
          </cell>
          <cell r="H141">
            <v>972</v>
          </cell>
          <cell r="I141">
            <v>1.7908999999999999</v>
          </cell>
        </row>
        <row r="142">
          <cell r="D142" t="str">
            <v>BLGS010</v>
          </cell>
          <cell r="E142" t="str">
            <v>LIGHTSTAR LITRO TRANSPARENTE</v>
          </cell>
          <cell r="F142" t="str">
            <v>M</v>
          </cell>
          <cell r="G142" t="str">
            <v>IBOT</v>
          </cell>
          <cell r="H142">
            <v>31152</v>
          </cell>
          <cell r="I142">
            <v>2.2416</v>
          </cell>
        </row>
        <row r="143">
          <cell r="D143" t="str">
            <v>BLGS020</v>
          </cell>
          <cell r="E143" t="str">
            <v>LIGHSTAR DE UN LITRO AMBAR</v>
          </cell>
          <cell r="F143" t="str">
            <v>O</v>
          </cell>
          <cell r="G143" t="str">
            <v>IBOT</v>
          </cell>
          <cell r="H143">
            <v>1056</v>
          </cell>
          <cell r="I143">
            <v>1.5475000000000001</v>
          </cell>
        </row>
        <row r="144">
          <cell r="D144" t="str">
            <v>BLGS030</v>
          </cell>
          <cell r="E144" t="str">
            <v>BOTELLA LIGHTSTAR</v>
          </cell>
          <cell r="F144" t="str">
            <v>M</v>
          </cell>
          <cell r="G144" t="str">
            <v>IBOT</v>
          </cell>
          <cell r="H144">
            <v>116160</v>
          </cell>
          <cell r="I144">
            <v>2.0516999999999999</v>
          </cell>
        </row>
        <row r="145">
          <cell r="D145" t="str">
            <v>BTWS050</v>
          </cell>
          <cell r="E145" t="str">
            <v>TWISTAR DE UN LITRO ALUMINIO</v>
          </cell>
          <cell r="F145" t="str">
            <v>M</v>
          </cell>
          <cell r="G145" t="str">
            <v>IBOT</v>
          </cell>
          <cell r="H145">
            <v>1584</v>
          </cell>
          <cell r="I145">
            <v>2.8073000000000001</v>
          </cell>
        </row>
        <row r="146">
          <cell r="D146" t="str">
            <v>BTWS070</v>
          </cell>
          <cell r="E146" t="str">
            <v>TWISTAR DE UN LITRO NEGRO</v>
          </cell>
          <cell r="F146" t="str">
            <v>M</v>
          </cell>
          <cell r="G146" t="str">
            <v>IBOT</v>
          </cell>
          <cell r="H146">
            <v>77616</v>
          </cell>
          <cell r="I146">
            <v>2.7591999999999999</v>
          </cell>
        </row>
        <row r="147">
          <cell r="D147" t="str">
            <v>BTWS110</v>
          </cell>
          <cell r="E147" t="str">
            <v>TWISTAR DE 250 ML TRANSPARENTE</v>
          </cell>
          <cell r="F147" t="str">
            <v>M</v>
          </cell>
          <cell r="G147" t="str">
            <v>IBOT</v>
          </cell>
          <cell r="H147">
            <v>1260</v>
          </cell>
          <cell r="I147">
            <v>1.5601</v>
          </cell>
        </row>
        <row r="148">
          <cell r="D148" t="str">
            <v>BTWS150</v>
          </cell>
          <cell r="E148" t="str">
            <v>TWISTAR DE 250 ML BLANCA</v>
          </cell>
          <cell r="F148" t="str">
            <v>M</v>
          </cell>
          <cell r="G148" t="str">
            <v>IBOT</v>
          </cell>
          <cell r="H148">
            <v>464940</v>
          </cell>
          <cell r="I148">
            <v>1.3664000000000001</v>
          </cell>
        </row>
        <row r="149">
          <cell r="D149" t="str">
            <v>BTWS180</v>
          </cell>
          <cell r="E149" t="str">
            <v>TWISTAR DE 250 ML NEGRO</v>
          </cell>
          <cell r="F149" t="str">
            <v>M</v>
          </cell>
          <cell r="G149" t="str">
            <v>IBOT</v>
          </cell>
          <cell r="H149">
            <v>36540</v>
          </cell>
          <cell r="I149">
            <v>1.1900999999999999</v>
          </cell>
        </row>
        <row r="150">
          <cell r="D150" t="str">
            <v>BTWS250</v>
          </cell>
          <cell r="E150" t="str">
            <v>TWISTAR DE 500 ML BLANCO</v>
          </cell>
          <cell r="F150" t="str">
            <v>M</v>
          </cell>
          <cell r="G150" t="str">
            <v>IBOT</v>
          </cell>
          <cell r="H150">
            <v>12636</v>
          </cell>
          <cell r="I150">
            <v>1.7421</v>
          </cell>
        </row>
        <row r="151">
          <cell r="D151" t="str">
            <v>BZE030</v>
          </cell>
          <cell r="E151" t="str">
            <v>ZENECA 6 COSTILLAS 1L BLANCO</v>
          </cell>
          <cell r="F151" t="str">
            <v>M</v>
          </cell>
          <cell r="G151" t="str">
            <v>IBOT</v>
          </cell>
          <cell r="H151">
            <v>15120</v>
          </cell>
          <cell r="I151">
            <v>4.3349000000000002</v>
          </cell>
        </row>
        <row r="152">
          <cell r="D152" t="str">
            <v>BZE040</v>
          </cell>
          <cell r="E152" t="str">
            <v>ZENECA 7 COSTILLAS 1L TRANSPAR</v>
          </cell>
          <cell r="F152" t="str">
            <v>M</v>
          </cell>
          <cell r="G152" t="str">
            <v>IBOT</v>
          </cell>
          <cell r="H152">
            <v>52334</v>
          </cell>
          <cell r="I152">
            <v>1.9972000000000001</v>
          </cell>
        </row>
        <row r="153">
          <cell r="D153" t="str">
            <v>BZE050</v>
          </cell>
          <cell r="E153" t="str">
            <v>ZENECA 7 COSTILLAS 1L AMBAR</v>
          </cell>
          <cell r="F153" t="str">
            <v>M</v>
          </cell>
          <cell r="G153" t="str">
            <v>IBOT</v>
          </cell>
          <cell r="H153">
            <v>948</v>
          </cell>
          <cell r="I153">
            <v>1.81</v>
          </cell>
        </row>
        <row r="154">
          <cell r="D154" t="str">
            <v>BZE060</v>
          </cell>
          <cell r="E154" t="str">
            <v>ZENECA 7 COSTILLAS 1L BLANCO</v>
          </cell>
          <cell r="F154" t="str">
            <v>M</v>
          </cell>
          <cell r="G154" t="str">
            <v>IBOT</v>
          </cell>
          <cell r="H154">
            <v>90055</v>
          </cell>
          <cell r="I154">
            <v>2.1478999999999999</v>
          </cell>
        </row>
        <row r="155">
          <cell r="D155" t="str">
            <v>T45020</v>
          </cell>
          <cell r="E155" t="str">
            <v>TAPA 45 BLANCA  LINER IND ING</v>
          </cell>
          <cell r="F155" t="str">
            <v>M</v>
          </cell>
          <cell r="G155" t="str">
            <v>ITAP</v>
          </cell>
          <cell r="H155">
            <v>785326</v>
          </cell>
          <cell r="I155">
            <v>0.56910000000000005</v>
          </cell>
        </row>
        <row r="156">
          <cell r="D156" t="str">
            <v>T45030</v>
          </cell>
          <cell r="E156" t="str">
            <v>TAPA 45   BLANCA C/LINER IND</v>
          </cell>
          <cell r="F156" t="str">
            <v>M</v>
          </cell>
          <cell r="G156" t="str">
            <v>IBOT</v>
          </cell>
          <cell r="H156">
            <v>6500</v>
          </cell>
          <cell r="I156">
            <v>0.4849</v>
          </cell>
        </row>
        <row r="157">
          <cell r="D157" t="str">
            <v>T45040</v>
          </cell>
          <cell r="E157" t="str">
            <v>TAPA 45   BLANCA S/LINER IND A</v>
          </cell>
          <cell r="F157" t="str">
            <v>M</v>
          </cell>
          <cell r="G157" t="str">
            <v>ITAP</v>
          </cell>
          <cell r="H157">
            <v>14300</v>
          </cell>
          <cell r="I157">
            <v>0.35520000000000002</v>
          </cell>
        </row>
        <row r="158">
          <cell r="D158" t="str">
            <v>T45090</v>
          </cell>
          <cell r="E158" t="str">
            <v>TAPA 45   VERDE C/LINER IND</v>
          </cell>
          <cell r="F158" t="str">
            <v>O</v>
          </cell>
          <cell r="G158" t="str">
            <v>ITAP</v>
          </cell>
          <cell r="H158">
            <v>3900</v>
          </cell>
          <cell r="I158">
            <v>0.54690000000000005</v>
          </cell>
        </row>
        <row r="159">
          <cell r="D159" t="str">
            <v>T45100</v>
          </cell>
          <cell r="E159" t="str">
            <v>TAPA 45 VERDE C/LINER IND</v>
          </cell>
          <cell r="F159" t="str">
            <v>M</v>
          </cell>
          <cell r="G159" t="str">
            <v>ITAP</v>
          </cell>
          <cell r="H159">
            <v>123149</v>
          </cell>
          <cell r="I159">
            <v>0.54210000000000003</v>
          </cell>
        </row>
        <row r="160">
          <cell r="D160" t="str">
            <v>T45110</v>
          </cell>
          <cell r="E160" t="str">
            <v>TAPA 45   VERDE C/LINER IND</v>
          </cell>
          <cell r="F160" t="str">
            <v>M</v>
          </cell>
          <cell r="G160" t="str">
            <v>ITAP</v>
          </cell>
          <cell r="H160">
            <v>2024</v>
          </cell>
          <cell r="I160">
            <v>0.61670000000000003</v>
          </cell>
        </row>
        <row r="161">
          <cell r="D161" t="str">
            <v>T45180</v>
          </cell>
          <cell r="E161" t="str">
            <v>TAPA 45   AZUL C/LINER IND</v>
          </cell>
          <cell r="F161" t="str">
            <v>M</v>
          </cell>
          <cell r="G161" t="str">
            <v>ITAP</v>
          </cell>
          <cell r="H161">
            <v>265140</v>
          </cell>
          <cell r="I161">
            <v>0.52590000000000003</v>
          </cell>
        </row>
        <row r="162">
          <cell r="D162" t="str">
            <v>T45230</v>
          </cell>
          <cell r="E162" t="str">
            <v>TAPA 45   AZUL C/LINER IND</v>
          </cell>
          <cell r="F162" t="str">
            <v>M</v>
          </cell>
          <cell r="G162" t="str">
            <v>ITAP</v>
          </cell>
          <cell r="H162">
            <v>73006</v>
          </cell>
          <cell r="I162">
            <v>0.49080000000000001</v>
          </cell>
        </row>
        <row r="163">
          <cell r="D163" t="str">
            <v>T45310</v>
          </cell>
          <cell r="E163" t="str">
            <v>TAPA 45   ROJA C/LINER IND</v>
          </cell>
          <cell r="F163" t="str">
            <v>M</v>
          </cell>
          <cell r="G163" t="str">
            <v>ITAP</v>
          </cell>
          <cell r="H163">
            <v>108416</v>
          </cell>
          <cell r="I163">
            <v>0.55359999999999998</v>
          </cell>
        </row>
        <row r="164">
          <cell r="D164" t="str">
            <v>T63020</v>
          </cell>
          <cell r="E164" t="str">
            <v>TAPA 63   BLANCA C/LINER IND</v>
          </cell>
          <cell r="F164" t="str">
            <v>M</v>
          </cell>
          <cell r="G164" t="str">
            <v>ITAP</v>
          </cell>
          <cell r="H164">
            <v>312779</v>
          </cell>
          <cell r="I164">
            <v>0.96930000000000005</v>
          </cell>
        </row>
        <row r="165">
          <cell r="D165" t="str">
            <v>T63030</v>
          </cell>
          <cell r="E165" t="str">
            <v>TAPA 63   BLANCA C/LINER IND</v>
          </cell>
          <cell r="F165" t="str">
            <v>M</v>
          </cell>
          <cell r="G165" t="str">
            <v>ITAP</v>
          </cell>
          <cell r="H165">
            <v>213394</v>
          </cell>
          <cell r="I165">
            <v>1.0593999999999999</v>
          </cell>
        </row>
        <row r="166">
          <cell r="D166" t="str">
            <v>T63100</v>
          </cell>
          <cell r="E166" t="str">
            <v>TAPA 63   VERDE C/LINER IND</v>
          </cell>
          <cell r="F166" t="str">
            <v>M</v>
          </cell>
          <cell r="G166" t="str">
            <v>ITAP</v>
          </cell>
          <cell r="H166">
            <v>211712</v>
          </cell>
          <cell r="I166">
            <v>0.94079999999999997</v>
          </cell>
        </row>
        <row r="167">
          <cell r="D167" t="str">
            <v>T63110</v>
          </cell>
          <cell r="E167" t="str">
            <v>TAPA 63   VERDE C/LINER IND</v>
          </cell>
          <cell r="F167" t="str">
            <v>M</v>
          </cell>
          <cell r="G167" t="str">
            <v>ITAP</v>
          </cell>
          <cell r="H167">
            <v>2819</v>
          </cell>
          <cell r="I167">
            <v>0.99460000000000004</v>
          </cell>
        </row>
        <row r="168">
          <cell r="D168" t="str">
            <v>T63180</v>
          </cell>
          <cell r="E168" t="str">
            <v>TAPA 63   AZUL C/LINER DORADO</v>
          </cell>
          <cell r="F168" t="str">
            <v>M</v>
          </cell>
          <cell r="G168" t="str">
            <v>ITAP</v>
          </cell>
          <cell r="H168">
            <v>88410</v>
          </cell>
          <cell r="I168">
            <v>0.96009999999999995</v>
          </cell>
        </row>
        <row r="169">
          <cell r="D169" t="str">
            <v>T63260</v>
          </cell>
          <cell r="E169" t="str">
            <v>TAPA 63   ROJA C/LINER IND</v>
          </cell>
          <cell r="F169" t="str">
            <v>M</v>
          </cell>
          <cell r="G169" t="str">
            <v>ITAP</v>
          </cell>
          <cell r="H169">
            <v>8934</v>
          </cell>
          <cell r="I169">
            <v>0.96040000000000003</v>
          </cell>
        </row>
        <row r="170">
          <cell r="D170" t="str">
            <v>T45410</v>
          </cell>
          <cell r="E170" t="str">
            <v>TAPA 45 CAFE S/LINER IND</v>
          </cell>
          <cell r="F170" t="str">
            <v>O</v>
          </cell>
          <cell r="G170" t="str">
            <v>IBOT</v>
          </cell>
          <cell r="H170">
            <v>1000</v>
          </cell>
          <cell r="I170">
            <v>0.43890000000000001</v>
          </cell>
        </row>
        <row r="171">
          <cell r="D171" t="str">
            <v>T63111</v>
          </cell>
          <cell r="E171" t="str">
            <v>63 VERDE C/LINER CANAD S/CINT</v>
          </cell>
          <cell r="F171" t="str">
            <v>M</v>
          </cell>
          <cell r="G171" t="str">
            <v>ITAP</v>
          </cell>
          <cell r="H171">
            <v>1373</v>
          </cell>
          <cell r="I171">
            <v>1.5235000000000001</v>
          </cell>
        </row>
        <row r="172">
          <cell r="D172" t="str">
            <v>BTWS141</v>
          </cell>
          <cell r="E172" t="str">
            <v>TWISTAR DE 250 ML VERDE 115333</v>
          </cell>
          <cell r="F172" t="str">
            <v>M</v>
          </cell>
          <cell r="G172" t="str">
            <v>IBOT</v>
          </cell>
          <cell r="H172">
            <v>6300</v>
          </cell>
          <cell r="I172">
            <v>1.4599</v>
          </cell>
        </row>
        <row r="173">
          <cell r="D173" t="str">
            <v>T63601</v>
          </cell>
          <cell r="E173" t="str">
            <v>63 AMARILLA C/LINER DOR C/CIN</v>
          </cell>
          <cell r="F173" t="str">
            <v>S</v>
          </cell>
          <cell r="G173" t="str">
            <v>ITAP</v>
          </cell>
          <cell r="H173">
            <v>13684</v>
          </cell>
          <cell r="I173">
            <v>1.0824</v>
          </cell>
        </row>
        <row r="174">
          <cell r="D174" t="str">
            <v>BTWS500</v>
          </cell>
          <cell r="E174" t="str">
            <v>TWISTAR 125ML TRANSPARENTE</v>
          </cell>
          <cell r="F174" t="str">
            <v>M</v>
          </cell>
          <cell r="G174" t="str">
            <v>IBOT</v>
          </cell>
          <cell r="H174">
            <v>27594</v>
          </cell>
          <cell r="I174">
            <v>1.2718</v>
          </cell>
        </row>
        <row r="175">
          <cell r="D175" t="str">
            <v>BTWS520</v>
          </cell>
          <cell r="E175" t="str">
            <v>TWISTAR 125ML BLANCA 11164</v>
          </cell>
          <cell r="F175" t="str">
            <v>M</v>
          </cell>
          <cell r="G175" t="str">
            <v>IBOT</v>
          </cell>
          <cell r="H175">
            <v>153300</v>
          </cell>
          <cell r="I175">
            <v>1.3948</v>
          </cell>
        </row>
        <row r="176">
          <cell r="D176" t="str">
            <v>BLGS061</v>
          </cell>
          <cell r="E176" t="str">
            <v>LIGHSTAR DE UN LITRO ALUMINIO</v>
          </cell>
          <cell r="F176" t="str">
            <v>M</v>
          </cell>
          <cell r="G176" t="str">
            <v>IBOT</v>
          </cell>
          <cell r="H176">
            <v>56138</v>
          </cell>
          <cell r="I176">
            <v>2.2360000000000002</v>
          </cell>
        </row>
        <row r="177">
          <cell r="D177" t="str">
            <v>BEUR010</v>
          </cell>
          <cell r="E177" t="str">
            <v>B. EUR 1 LT TRANSPARENTE</v>
          </cell>
          <cell r="F177" t="str">
            <v>O</v>
          </cell>
          <cell r="G177" t="str">
            <v>IBOT</v>
          </cell>
          <cell r="H177">
            <v>338</v>
          </cell>
          <cell r="I177">
            <v>1.3028</v>
          </cell>
        </row>
        <row r="178">
          <cell r="D178" t="str">
            <v>BEUR041</v>
          </cell>
          <cell r="E178" t="str">
            <v>BEUR 1 LT BLANCO</v>
          </cell>
          <cell r="F178" t="str">
            <v>M</v>
          </cell>
          <cell r="G178" t="str">
            <v>IBOT</v>
          </cell>
          <cell r="H178">
            <v>49517</v>
          </cell>
          <cell r="I178">
            <v>2.1145</v>
          </cell>
        </row>
        <row r="179">
          <cell r="D179" t="str">
            <v>BTWS630</v>
          </cell>
          <cell r="E179" t="str">
            <v>TWISTAR DE 350 ML BLANCO</v>
          </cell>
          <cell r="F179" t="str">
            <v>M</v>
          </cell>
          <cell r="G179" t="str">
            <v>IBOT</v>
          </cell>
          <cell r="H179">
            <v>100800</v>
          </cell>
          <cell r="I179">
            <v>1.6553</v>
          </cell>
        </row>
        <row r="180">
          <cell r="D180" t="str">
            <v>BTWS261</v>
          </cell>
          <cell r="E180" t="str">
            <v>TWISTAR 500ML ALUMINIO F</v>
          </cell>
          <cell r="F180" t="str">
            <v>M</v>
          </cell>
          <cell r="G180" t="str">
            <v>IBOT</v>
          </cell>
          <cell r="H180">
            <v>34398</v>
          </cell>
          <cell r="I180">
            <v>1.7230000000000001</v>
          </cell>
        </row>
        <row r="181">
          <cell r="D181" t="str">
            <v>T45332</v>
          </cell>
          <cell r="E181" t="str">
            <v>TAPA 45 AMARILLA L/DORADO</v>
          </cell>
          <cell r="F181" t="str">
            <v>M</v>
          </cell>
          <cell r="G181" t="str">
            <v>ITAP</v>
          </cell>
          <cell r="H181">
            <v>2098</v>
          </cell>
          <cell r="I181">
            <v>0.54220000000000002</v>
          </cell>
        </row>
        <row r="182">
          <cell r="D182" t="str">
            <v>BZE049</v>
          </cell>
          <cell r="E182" t="str">
            <v>ZENECA SQUARE RIBS AMBAR</v>
          </cell>
          <cell r="F182" t="str">
            <v>M</v>
          </cell>
          <cell r="G182" t="str">
            <v>IBOT</v>
          </cell>
          <cell r="H182">
            <v>1264</v>
          </cell>
          <cell r="I182">
            <v>1.7159</v>
          </cell>
        </row>
        <row r="183">
          <cell r="D183" t="str">
            <v>BTWS161</v>
          </cell>
          <cell r="E183" t="str">
            <v>TWISTAR DE 250 ML ALUMINIO FMC</v>
          </cell>
          <cell r="F183" t="str">
            <v>M</v>
          </cell>
          <cell r="G183" t="str">
            <v>IBOT</v>
          </cell>
          <cell r="H183">
            <v>23940</v>
          </cell>
          <cell r="I183">
            <v>1.3834</v>
          </cell>
        </row>
        <row r="184">
          <cell r="D184" t="str">
            <v>GA5L040</v>
          </cell>
          <cell r="E184" t="str">
            <v>TWISTART 5000 BLANCO</v>
          </cell>
          <cell r="F184" t="str">
            <v>M</v>
          </cell>
          <cell r="G184" t="str">
            <v>IBOT</v>
          </cell>
          <cell r="H184">
            <v>28126</v>
          </cell>
          <cell r="I184">
            <v>13.6996</v>
          </cell>
        </row>
        <row r="185">
          <cell r="D185" t="str">
            <v>BTWS561</v>
          </cell>
          <cell r="E185" t="str">
            <v>TWISTAR 125ML ALUMINIO F</v>
          </cell>
          <cell r="F185" t="str">
            <v>O</v>
          </cell>
          <cell r="G185" t="str">
            <v>IBOT</v>
          </cell>
          <cell r="H185">
            <v>5256</v>
          </cell>
          <cell r="I185">
            <v>1.0783</v>
          </cell>
        </row>
        <row r="186">
          <cell r="D186" t="str">
            <v>Z120G010</v>
          </cell>
          <cell r="E186" t="str">
            <v>ZEPELIN 5000 TRANSPARENTE</v>
          </cell>
          <cell r="F186" t="str">
            <v>M</v>
          </cell>
          <cell r="G186" t="str">
            <v>IBOT</v>
          </cell>
          <cell r="H186">
            <v>3631</v>
          </cell>
          <cell r="I186">
            <v>6.0087000000000002</v>
          </cell>
        </row>
        <row r="187">
          <cell r="D187" t="str">
            <v>Z120G020</v>
          </cell>
          <cell r="E187" t="str">
            <v>ZEPELIN 5000 AMBAR</v>
          </cell>
          <cell r="F187" t="str">
            <v>M</v>
          </cell>
          <cell r="G187" t="str">
            <v>IBOT</v>
          </cell>
          <cell r="H187">
            <v>10960</v>
          </cell>
          <cell r="I187">
            <v>6.92</v>
          </cell>
        </row>
        <row r="188">
          <cell r="D188" t="str">
            <v>BTWS151</v>
          </cell>
          <cell r="E188" t="str">
            <v>TWISTAR DE 250 ML BLANCA PERLA</v>
          </cell>
          <cell r="F188" t="str">
            <v>M</v>
          </cell>
          <cell r="G188" t="str">
            <v>IBOT</v>
          </cell>
          <cell r="H188">
            <v>1260</v>
          </cell>
          <cell r="I188">
            <v>1.8960999999999999</v>
          </cell>
        </row>
        <row r="189">
          <cell r="D189" t="str">
            <v>T45251 AC</v>
          </cell>
          <cell r="E189" t="str">
            <v>TAPA 45 ROJA VEL S/LINER</v>
          </cell>
          <cell r="F189" t="str">
            <v>M</v>
          </cell>
          <cell r="G189" t="str">
            <v>IBOT</v>
          </cell>
          <cell r="H189">
            <v>12000</v>
          </cell>
          <cell r="I189">
            <v>0.33339999999999997</v>
          </cell>
        </row>
        <row r="190">
          <cell r="D190" t="str">
            <v>ASA010</v>
          </cell>
          <cell r="E190" t="str">
            <v>ASA BLANCA</v>
          </cell>
          <cell r="F190" t="str">
            <v>M</v>
          </cell>
          <cell r="G190" t="str">
            <v>ITAP</v>
          </cell>
          <cell r="H190">
            <v>6290</v>
          </cell>
          <cell r="I190">
            <v>1.7609999999999999</v>
          </cell>
        </row>
        <row r="191">
          <cell r="D191" t="str">
            <v>ASA030</v>
          </cell>
          <cell r="E191" t="str">
            <v>ASA AZUL</v>
          </cell>
          <cell r="F191" t="str">
            <v>M</v>
          </cell>
          <cell r="G191" t="str">
            <v>ITAP</v>
          </cell>
          <cell r="H191">
            <v>36260</v>
          </cell>
          <cell r="I191">
            <v>1.3476999999999999</v>
          </cell>
        </row>
        <row r="192">
          <cell r="D192" t="str">
            <v>ASA040</v>
          </cell>
          <cell r="E192" t="str">
            <v>ASA ROJA</v>
          </cell>
          <cell r="F192" t="str">
            <v>M</v>
          </cell>
          <cell r="G192" t="str">
            <v>ITAP</v>
          </cell>
          <cell r="H192">
            <v>2960</v>
          </cell>
          <cell r="I192">
            <v>1.4244000000000001</v>
          </cell>
        </row>
        <row r="193">
          <cell r="D193" t="str">
            <v>ASA050</v>
          </cell>
          <cell r="E193" t="str">
            <v>ASA AMARILLA</v>
          </cell>
          <cell r="F193" t="str">
            <v>M</v>
          </cell>
          <cell r="G193" t="str">
            <v>ITAP</v>
          </cell>
          <cell r="H193">
            <v>553</v>
          </cell>
          <cell r="I193">
            <v>1.2498</v>
          </cell>
        </row>
        <row r="194">
          <cell r="D194" t="str">
            <v>T45020AC</v>
          </cell>
          <cell r="E194" t="str">
            <v>TAPA 45MM BCA L/D AC</v>
          </cell>
          <cell r="F194" t="str">
            <v>O</v>
          </cell>
          <cell r="G194" t="str">
            <v>ITAP</v>
          </cell>
          <cell r="H194">
            <v>1988</v>
          </cell>
          <cell r="I194">
            <v>0.48570000000000002</v>
          </cell>
        </row>
        <row r="195">
          <cell r="D195" t="str">
            <v>GA5L010</v>
          </cell>
          <cell r="E195" t="str">
            <v>TWISTART 5000 TRANSPARENTE</v>
          </cell>
          <cell r="F195" t="str">
            <v>M</v>
          </cell>
          <cell r="G195" t="str">
            <v>IBOT</v>
          </cell>
          <cell r="H195">
            <v>44729</v>
          </cell>
          <cell r="I195">
            <v>13.2651</v>
          </cell>
        </row>
        <row r="196">
          <cell r="D196" t="str">
            <v>EMS041</v>
          </cell>
          <cell r="E196" t="str">
            <v>EMPECOMISIL LITRO BLANCO</v>
          </cell>
          <cell r="F196" t="str">
            <v>M</v>
          </cell>
          <cell r="G196" t="str">
            <v>IBOT</v>
          </cell>
          <cell r="H196">
            <v>23242</v>
          </cell>
          <cell r="I196">
            <v>2.8445</v>
          </cell>
        </row>
        <row r="197">
          <cell r="D197" t="str">
            <v>EMS100</v>
          </cell>
          <cell r="E197" t="str">
            <v>MISIL DE UN LITRO AZUL</v>
          </cell>
          <cell r="F197" t="str">
            <v>M</v>
          </cell>
          <cell r="G197" t="str">
            <v>IBOT</v>
          </cell>
          <cell r="H197">
            <v>6422</v>
          </cell>
          <cell r="I197">
            <v>1.778</v>
          </cell>
        </row>
        <row r="198">
          <cell r="D198" t="str">
            <v>T45501</v>
          </cell>
          <cell r="E198" t="str">
            <v>T45 NARANJA C/DORADO</v>
          </cell>
          <cell r="F198" t="str">
            <v>M</v>
          </cell>
          <cell r="G198" t="str">
            <v>ITAP</v>
          </cell>
          <cell r="H198">
            <v>59376</v>
          </cell>
          <cell r="I198">
            <v>0.61899999999999999</v>
          </cell>
        </row>
        <row r="199">
          <cell r="D199" t="str">
            <v>EMS042</v>
          </cell>
          <cell r="E199" t="str">
            <v>MISIL 56 GRS BLANCO</v>
          </cell>
          <cell r="F199" t="str">
            <v>M</v>
          </cell>
          <cell r="G199" t="str">
            <v>IBOT</v>
          </cell>
          <cell r="H199">
            <v>355576</v>
          </cell>
          <cell r="I199">
            <v>2.2120000000000002</v>
          </cell>
        </row>
        <row r="200">
          <cell r="D200" t="str">
            <v>EMS043</v>
          </cell>
          <cell r="E200" t="str">
            <v>MISIL 56 G CRISTAL</v>
          </cell>
          <cell r="F200" t="str">
            <v>M</v>
          </cell>
          <cell r="G200" t="str">
            <v>IBOT</v>
          </cell>
          <cell r="H200">
            <v>192491</v>
          </cell>
          <cell r="I200">
            <v>2.2012999999999998</v>
          </cell>
        </row>
        <row r="201">
          <cell r="D201" t="str">
            <v>EMS044</v>
          </cell>
          <cell r="E201" t="str">
            <v>MISIL 56 GRS ALUMINIO</v>
          </cell>
          <cell r="F201" t="str">
            <v>M</v>
          </cell>
          <cell r="G201" t="str">
            <v>IBOT</v>
          </cell>
          <cell r="H201">
            <v>13013</v>
          </cell>
          <cell r="I201">
            <v>2.2629000000000001</v>
          </cell>
        </row>
        <row r="202">
          <cell r="D202" t="str">
            <v>BTWS700</v>
          </cell>
          <cell r="E202" t="str">
            <v>BOT TWISTAR 650 ML BLANCO</v>
          </cell>
          <cell r="F202" t="str">
            <v>O</v>
          </cell>
          <cell r="G202" t="str">
            <v>IBOT</v>
          </cell>
          <cell r="H202">
            <v>639</v>
          </cell>
          <cell r="I202">
            <v>2.9605999999999999</v>
          </cell>
        </row>
        <row r="203">
          <cell r="D203" t="str">
            <v>S-PAX-C-001</v>
          </cell>
          <cell r="E203" t="str">
            <v>SYNGENTA 5 LTS COEX BLANCO</v>
          </cell>
          <cell r="F203" t="str">
            <v>M</v>
          </cell>
          <cell r="G203" t="str">
            <v>GARR</v>
          </cell>
          <cell r="H203">
            <v>650</v>
          </cell>
          <cell r="I203">
            <v>16.7408</v>
          </cell>
        </row>
        <row r="204">
          <cell r="D204" t="str">
            <v>K-PAX-C-111</v>
          </cell>
          <cell r="E204" t="str">
            <v>EMPECO 5 LITROS COEX BLANCO</v>
          </cell>
          <cell r="F204" t="str">
            <v>M</v>
          </cell>
          <cell r="G204" t="str">
            <v>GARR</v>
          </cell>
          <cell r="H204">
            <v>2140</v>
          </cell>
          <cell r="I204">
            <v>21.3979</v>
          </cell>
        </row>
        <row r="205">
          <cell r="D205" t="str">
            <v>K-PAX-C-112</v>
          </cell>
          <cell r="E205" t="str">
            <v>EMPECO 5 LITROS COEX NATURAL</v>
          </cell>
          <cell r="F205" t="str">
            <v>M</v>
          </cell>
          <cell r="G205" t="str">
            <v>GARR</v>
          </cell>
          <cell r="H205">
            <v>1244</v>
          </cell>
          <cell r="I205">
            <v>11.596</v>
          </cell>
        </row>
        <row r="206">
          <cell r="D206" t="str">
            <v>ST-PAX-001</v>
          </cell>
          <cell r="E206" t="str">
            <v>SYNGENTA 10 LITROS MONO BLANCO</v>
          </cell>
          <cell r="F206" t="str">
            <v>M</v>
          </cell>
          <cell r="G206" t="str">
            <v>GARR</v>
          </cell>
          <cell r="H206">
            <v>959</v>
          </cell>
          <cell r="I206">
            <v>19.107900000000001</v>
          </cell>
        </row>
        <row r="207">
          <cell r="D207" t="str">
            <v>K-PAX-M-001</v>
          </cell>
          <cell r="E207" t="str">
            <v>EMPECO 10 LTS MONO BLANCO</v>
          </cell>
          <cell r="F207" t="str">
            <v>M</v>
          </cell>
          <cell r="G207" t="str">
            <v>GARR</v>
          </cell>
          <cell r="H207">
            <v>2896</v>
          </cell>
          <cell r="I207">
            <v>17.145499999999998</v>
          </cell>
        </row>
        <row r="208">
          <cell r="D208" t="str">
            <v>K-PAX-M-002</v>
          </cell>
          <cell r="E208" t="str">
            <v>EMPECO 10 LTS MONO NATURAL</v>
          </cell>
          <cell r="F208" t="str">
            <v>M</v>
          </cell>
          <cell r="G208" t="str">
            <v>GARR</v>
          </cell>
          <cell r="H208">
            <v>4090</v>
          </cell>
          <cell r="I208">
            <v>12.103400000000001</v>
          </cell>
        </row>
        <row r="209">
          <cell r="D209" t="str">
            <v>S-PAX-M-001</v>
          </cell>
          <cell r="E209" t="str">
            <v>SYNGENTA 5 LITROS MONO BLANCO</v>
          </cell>
          <cell r="F209" t="str">
            <v>M</v>
          </cell>
          <cell r="G209" t="str">
            <v>GARR</v>
          </cell>
          <cell r="H209">
            <v>100</v>
          </cell>
          <cell r="I209">
            <v>13.1974</v>
          </cell>
        </row>
        <row r="210">
          <cell r="D210" t="str">
            <v>S-PAX-M-002</v>
          </cell>
          <cell r="E210" t="str">
            <v>SYNGENTA 5 LITROS MONO NATURAL</v>
          </cell>
          <cell r="F210" t="str">
            <v>M</v>
          </cell>
          <cell r="G210" t="str">
            <v>GARR</v>
          </cell>
          <cell r="H210">
            <v>3450</v>
          </cell>
          <cell r="I210">
            <v>12.067</v>
          </cell>
        </row>
        <row r="211">
          <cell r="D211" t="str">
            <v>BTWS800</v>
          </cell>
          <cell r="E211" t="str">
            <v>BOT TWISTAR 150ML BLANCA</v>
          </cell>
          <cell r="F211" t="str">
            <v>M</v>
          </cell>
          <cell r="G211" t="str">
            <v>IBOT</v>
          </cell>
          <cell r="H211">
            <v>67320</v>
          </cell>
          <cell r="I211">
            <v>1.4348000000000001</v>
          </cell>
        </row>
        <row r="212">
          <cell r="D212" t="str">
            <v>T45231</v>
          </cell>
          <cell r="E212" t="str">
            <v>TAPA 45 AZUL ARYSTA C/LINNER</v>
          </cell>
          <cell r="F212" t="str">
            <v>M</v>
          </cell>
          <cell r="G212" t="str">
            <v>ITAP</v>
          </cell>
          <cell r="H212">
            <v>139378</v>
          </cell>
          <cell r="I212">
            <v>0.53120000000000001</v>
          </cell>
        </row>
        <row r="213">
          <cell r="D213" t="str">
            <v>T63181</v>
          </cell>
          <cell r="E213" t="str">
            <v>TAPA 63 AZUL ARYSTA C/DORADO</v>
          </cell>
          <cell r="F213" t="str">
            <v>M</v>
          </cell>
          <cell r="G213" t="str">
            <v>ITAP</v>
          </cell>
          <cell r="H213">
            <v>1059</v>
          </cell>
          <cell r="I213">
            <v>1.1882999999999999</v>
          </cell>
        </row>
        <row r="214">
          <cell r="D214" t="str">
            <v>T45111</v>
          </cell>
          <cell r="E214" t="str">
            <v>TAPA 45 VERDE ARYSTA C/DORADO</v>
          </cell>
          <cell r="F214" t="str">
            <v>M</v>
          </cell>
          <cell r="G214" t="str">
            <v>ITAP</v>
          </cell>
          <cell r="H214">
            <v>168665</v>
          </cell>
          <cell r="I214">
            <v>0.56259999999999999</v>
          </cell>
        </row>
        <row r="215">
          <cell r="D215" t="str">
            <v>VASO001</v>
          </cell>
          <cell r="E215" t="str">
            <v>VASO TRAMPERO AMARILLO</v>
          </cell>
          <cell r="F215" t="str">
            <v>M</v>
          </cell>
          <cell r="G215" t="str">
            <v>IBOT</v>
          </cell>
          <cell r="H215">
            <v>15277</v>
          </cell>
          <cell r="I215">
            <v>1.6785000000000001</v>
          </cell>
        </row>
        <row r="216">
          <cell r="D216" t="str">
            <v>GAN002</v>
          </cell>
          <cell r="E216" t="str">
            <v>GANCHO PARA VASO TRAMPERO</v>
          </cell>
          <cell r="F216" t="str">
            <v>M</v>
          </cell>
          <cell r="G216" t="str">
            <v>IBOT</v>
          </cell>
          <cell r="H216">
            <v>18580</v>
          </cell>
          <cell r="I216">
            <v>0.32050000000000001</v>
          </cell>
        </row>
        <row r="217">
          <cell r="D217" t="str">
            <v>CAN001</v>
          </cell>
          <cell r="E217" t="str">
            <v>CANUTILLO VASO TRAMPERO</v>
          </cell>
          <cell r="F217" t="str">
            <v>M</v>
          </cell>
          <cell r="G217" t="str">
            <v>IBOT</v>
          </cell>
          <cell r="H217">
            <v>111744</v>
          </cell>
          <cell r="I217">
            <v>0.104</v>
          </cell>
        </row>
        <row r="218">
          <cell r="D218" t="str">
            <v>T63913</v>
          </cell>
          <cell r="E218" t="str">
            <v>TAPA NATURAL VASO TRAMPERO</v>
          </cell>
          <cell r="F218" t="str">
            <v>M</v>
          </cell>
          <cell r="G218" t="str">
            <v>ITAP</v>
          </cell>
          <cell r="H218">
            <v>17984</v>
          </cell>
          <cell r="I218">
            <v>0.75219999999999998</v>
          </cell>
        </row>
        <row r="219">
          <cell r="D219" t="str">
            <v>MEMP014</v>
          </cell>
          <cell r="E219" t="str">
            <v>CAJA CARTON 4X5</v>
          </cell>
          <cell r="F219" t="str">
            <v>P</v>
          </cell>
          <cell r="G219" t="str">
            <v>IVAR</v>
          </cell>
          <cell r="H219">
            <v>997</v>
          </cell>
          <cell r="I219">
            <v>14.9262</v>
          </cell>
        </row>
        <row r="220">
          <cell r="D220" t="str">
            <v>EMS080</v>
          </cell>
          <cell r="E220" t="str">
            <v>MISIL POLIPROPILENO BLANCO 80G</v>
          </cell>
          <cell r="F220" t="str">
            <v>M</v>
          </cell>
          <cell r="G220" t="str">
            <v>IBOT</v>
          </cell>
          <cell r="H220">
            <v>10586</v>
          </cell>
          <cell r="I220">
            <v>3.5059</v>
          </cell>
        </row>
        <row r="221">
          <cell r="D221" t="str">
            <v>BTWS215</v>
          </cell>
          <cell r="E221" t="str">
            <v>OVAL 250 ML CRISTAL</v>
          </cell>
          <cell r="F221" t="str">
            <v>M</v>
          </cell>
          <cell r="G221" t="str">
            <v>IBOT</v>
          </cell>
          <cell r="H221">
            <v>16864</v>
          </cell>
          <cell r="I221">
            <v>1.3190999999999999</v>
          </cell>
        </row>
        <row r="222">
          <cell r="D222" t="str">
            <v>BTWS562</v>
          </cell>
          <cell r="E222" t="str">
            <v>OVAL 125ML CRISTAL</v>
          </cell>
          <cell r="F222" t="str">
            <v>M</v>
          </cell>
          <cell r="G222" t="str">
            <v>IBOT</v>
          </cell>
          <cell r="H222">
            <v>15340</v>
          </cell>
          <cell r="I222">
            <v>0.64600000000000002</v>
          </cell>
        </row>
        <row r="223">
          <cell r="D223" t="str">
            <v>BTWS563</v>
          </cell>
          <cell r="E223" t="str">
            <v>OVAL 60ML CRISTAL</v>
          </cell>
          <cell r="F223" t="str">
            <v>M</v>
          </cell>
          <cell r="G223" t="str">
            <v>IBOT</v>
          </cell>
          <cell r="H223">
            <v>206955</v>
          </cell>
          <cell r="I223">
            <v>0.45550000000000002</v>
          </cell>
        </row>
        <row r="224">
          <cell r="D224" t="str">
            <v>EMS048</v>
          </cell>
          <cell r="E224" t="str">
            <v>BOT MISIL 56 GRS VERDE SOLIDO</v>
          </cell>
          <cell r="F224" t="str">
            <v>M</v>
          </cell>
          <cell r="G224" t="str">
            <v>IBOT</v>
          </cell>
          <cell r="H224">
            <v>16900</v>
          </cell>
          <cell r="I224">
            <v>2.5945</v>
          </cell>
        </row>
        <row r="225">
          <cell r="D225">
            <v>231176</v>
          </cell>
          <cell r="E225" t="str">
            <v>BOSTON 100 ML BLANCO</v>
          </cell>
          <cell r="F225" t="str">
            <v>M</v>
          </cell>
          <cell r="G225" t="str">
            <v>IBOT</v>
          </cell>
          <cell r="H225">
            <v>141900</v>
          </cell>
          <cell r="I225">
            <v>1.0499000000000001</v>
          </cell>
        </row>
        <row r="226">
          <cell r="D226" t="str">
            <v>T45021</v>
          </cell>
          <cell r="E226" t="str">
            <v>TAPA 45 BLANCA  LINNER VALVULA</v>
          </cell>
          <cell r="F226" t="str">
            <v>M</v>
          </cell>
          <cell r="G226" t="str">
            <v>ITAP</v>
          </cell>
          <cell r="H226">
            <v>1300</v>
          </cell>
          <cell r="I226">
            <v>2.2042999999999999</v>
          </cell>
        </row>
        <row r="227">
          <cell r="D227" t="str">
            <v>T45101</v>
          </cell>
          <cell r="E227" t="str">
            <v>TAPA 45 VERDE C/LINER VALVULAD</v>
          </cell>
          <cell r="F227" t="str">
            <v>M</v>
          </cell>
          <cell r="G227" t="str">
            <v>ITAP</v>
          </cell>
          <cell r="H227">
            <v>11700</v>
          </cell>
          <cell r="I227">
            <v>2.2256</v>
          </cell>
        </row>
        <row r="228">
          <cell r="D228" t="str">
            <v>EMS049</v>
          </cell>
          <cell r="E228" t="str">
            <v>MISIL SUPRIME BLANCO DREXEL</v>
          </cell>
          <cell r="F228" t="str">
            <v>M</v>
          </cell>
          <cell r="G228" t="str">
            <v>IBOT</v>
          </cell>
          <cell r="H228">
            <v>44109</v>
          </cell>
          <cell r="I228">
            <v>2.7121</v>
          </cell>
        </row>
        <row r="229">
          <cell r="D229" t="str">
            <v>EMS101</v>
          </cell>
          <cell r="E229" t="str">
            <v>MISIL 1LT C5072GR CRISTAL</v>
          </cell>
          <cell r="F229" t="str">
            <v>M</v>
          </cell>
          <cell r="G229" t="str">
            <v>IBOT</v>
          </cell>
          <cell r="H229">
            <v>20956</v>
          </cell>
          <cell r="I229">
            <v>3.2761</v>
          </cell>
        </row>
        <row r="230">
          <cell r="D230" t="str">
            <v>EMS051</v>
          </cell>
          <cell r="E230" t="str">
            <v>MISIL 56GR AMBAR</v>
          </cell>
          <cell r="F230" t="str">
            <v>M</v>
          </cell>
          <cell r="G230" t="str">
            <v>IBOT</v>
          </cell>
          <cell r="H230">
            <v>479</v>
          </cell>
          <cell r="I230">
            <v>2.9186000000000001</v>
          </cell>
        </row>
        <row r="231">
          <cell r="D231" t="str">
            <v>T50020</v>
          </cell>
          <cell r="E231" t="str">
            <v>TAPA 50 BLANCA C/LINER DORADO</v>
          </cell>
          <cell r="F231" t="str">
            <v>M</v>
          </cell>
          <cell r="G231" t="str">
            <v>ITAP</v>
          </cell>
          <cell r="H231">
            <v>168865</v>
          </cell>
          <cell r="I231">
            <v>0.67930000000000001</v>
          </cell>
        </row>
        <row r="232">
          <cell r="D232" t="str">
            <v>T50030AC</v>
          </cell>
          <cell r="E232" t="str">
            <v>TAPA 50BLANCA C/C L.PLATEADO</v>
          </cell>
          <cell r="F232" t="str">
            <v>M</v>
          </cell>
          <cell r="G232" t="str">
            <v>ITAP</v>
          </cell>
          <cell r="H232">
            <v>34200</v>
          </cell>
          <cell r="I232">
            <v>0.72550000000000003</v>
          </cell>
        </row>
        <row r="233">
          <cell r="D233" t="str">
            <v>T50030</v>
          </cell>
          <cell r="E233" t="str">
            <v>TAPA 50BLANCA C/LINER PLATEADO</v>
          </cell>
          <cell r="F233" t="str">
            <v>M</v>
          </cell>
          <cell r="G233" t="str">
            <v>ITAP</v>
          </cell>
          <cell r="H233">
            <v>174000</v>
          </cell>
          <cell r="I233">
            <v>0.72829999999999995</v>
          </cell>
        </row>
        <row r="234">
          <cell r="D234" t="str">
            <v>T63022</v>
          </cell>
          <cell r="E234" t="str">
            <v>TAPA 63 BLANCAC/VALVULADO POL</v>
          </cell>
          <cell r="F234" t="str">
            <v>S</v>
          </cell>
          <cell r="G234" t="str">
            <v>ITAP</v>
          </cell>
          <cell r="H234">
            <v>2926</v>
          </cell>
          <cell r="I234">
            <v>2.4651000000000001</v>
          </cell>
        </row>
        <row r="235">
          <cell r="D235" t="str">
            <v>EMS102</v>
          </cell>
          <cell r="E235" t="str">
            <v>MISIL 1L C50 72GR BLANCO</v>
          </cell>
          <cell r="F235" t="str">
            <v>S</v>
          </cell>
          <cell r="G235" t="str">
            <v>IBOT</v>
          </cell>
          <cell r="H235">
            <v>57426</v>
          </cell>
          <cell r="I235">
            <v>3.5375999999999999</v>
          </cell>
        </row>
        <row r="236">
          <cell r="D236" t="str">
            <v>T63801</v>
          </cell>
          <cell r="E236" t="str">
            <v>TAPA 63 NARANJA  MONSANTO S/L</v>
          </cell>
          <cell r="F236" t="str">
            <v>S</v>
          </cell>
          <cell r="G236" t="str">
            <v>ITAP</v>
          </cell>
          <cell r="H236">
            <v>21600</v>
          </cell>
          <cell r="I236">
            <v>0.88439999999999996</v>
          </cell>
        </row>
        <row r="237">
          <cell r="D237" t="str">
            <v>EMS209</v>
          </cell>
          <cell r="E237" t="str">
            <v>MISL CC 110 G BLANCO</v>
          </cell>
          <cell r="F237" t="str">
            <v>M</v>
          </cell>
          <cell r="G237" t="str">
            <v>IBOT</v>
          </cell>
          <cell r="H237">
            <v>130299</v>
          </cell>
          <cell r="I237">
            <v>5.8952999999999998</v>
          </cell>
        </row>
        <row r="238">
          <cell r="D238" t="str">
            <v>EMS213</v>
          </cell>
          <cell r="E238" t="str">
            <v>MISIL CL 110 G BLANCO</v>
          </cell>
          <cell r="F238" t="str">
            <v>S</v>
          </cell>
          <cell r="G238" t="str">
            <v>IBOT</v>
          </cell>
          <cell r="H238">
            <v>20618</v>
          </cell>
          <cell r="I238">
            <v>5.9649999999999999</v>
          </cell>
        </row>
        <row r="239">
          <cell r="D239" t="str">
            <v>T45022</v>
          </cell>
          <cell r="E239" t="str">
            <v>TAPA 45 BLANCA C/DORADO C</v>
          </cell>
          <cell r="F239" t="str">
            <v>S</v>
          </cell>
          <cell r="G239" t="str">
            <v>ITAP</v>
          </cell>
          <cell r="H239">
            <v>292500</v>
          </cell>
          <cell r="I239">
            <v>0.58130000000000004</v>
          </cell>
        </row>
        <row r="240">
          <cell r="D240" t="str">
            <v>T45102</v>
          </cell>
          <cell r="E240" t="str">
            <v>TAPA 45 VERDE C/PLATEADO C</v>
          </cell>
          <cell r="F240" t="str">
            <v>S</v>
          </cell>
          <cell r="G240" t="str">
            <v>ITAP</v>
          </cell>
          <cell r="H240">
            <v>279890</v>
          </cell>
          <cell r="I240">
            <v>0.54310000000000003</v>
          </cell>
        </row>
        <row r="241">
          <cell r="D241">
            <v>231198</v>
          </cell>
          <cell r="E241" t="str">
            <v>SILHOUETTE 750ML CRISTAL</v>
          </cell>
          <cell r="F241" t="str">
            <v>S</v>
          </cell>
          <cell r="G241" t="str">
            <v>IBOT</v>
          </cell>
          <cell r="H241">
            <v>88164</v>
          </cell>
          <cell r="I241">
            <v>1.6225000000000001</v>
          </cell>
        </row>
        <row r="242">
          <cell r="D242" t="str">
            <v>T50100</v>
          </cell>
          <cell r="E242" t="str">
            <v>TAPA 50 VERDE C/DORADO</v>
          </cell>
          <cell r="F242" t="str">
            <v>S</v>
          </cell>
          <cell r="G242" t="str">
            <v>ITAP</v>
          </cell>
          <cell r="H242">
            <v>54815</v>
          </cell>
          <cell r="I242">
            <v>0.64710000000000001</v>
          </cell>
        </row>
        <row r="243">
          <cell r="D243" t="str">
            <v>T50180</v>
          </cell>
          <cell r="E243" t="str">
            <v>TAPA 50 AZUL C/DORADO</v>
          </cell>
          <cell r="F243" t="str">
            <v>S</v>
          </cell>
          <cell r="G243" t="str">
            <v>ITAP</v>
          </cell>
          <cell r="H243">
            <v>54605</v>
          </cell>
          <cell r="I243">
            <v>0.64780000000000004</v>
          </cell>
        </row>
        <row r="244">
          <cell r="D244" t="str">
            <v>EMS223</v>
          </cell>
          <cell r="E244" t="str">
            <v>MISIL CC 90 G BLANCO</v>
          </cell>
          <cell r="F244" t="str">
            <v>S</v>
          </cell>
          <cell r="G244" t="str">
            <v>IBOT</v>
          </cell>
          <cell r="H244">
            <v>2028</v>
          </cell>
          <cell r="I244">
            <v>5.6348000000000003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97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RowHeight="14.4" x14ac:dyDescent="0.3"/>
  <cols>
    <col min="1" max="1" width="12.6640625" customWidth="1"/>
    <col min="2" max="2" width="16.6640625" customWidth="1"/>
    <col min="3" max="3" width="24.6640625" customWidth="1"/>
    <col min="4" max="4" width="20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10130</v>
      </c>
      <c r="B2" s="2">
        <v>10130</v>
      </c>
      <c r="C2" s="3">
        <v>1214</v>
      </c>
      <c r="D2" s="4">
        <f>VLOOKUP(A2,[1]LERMA!$D:$I,6,0)</f>
        <v>1.2161</v>
      </c>
    </row>
    <row r="3" spans="1:4" x14ac:dyDescent="0.3">
      <c r="A3" s="2">
        <v>231169</v>
      </c>
      <c r="B3" s="2">
        <v>231169</v>
      </c>
      <c r="C3" s="3">
        <v>720</v>
      </c>
      <c r="D3" s="4">
        <f>VLOOKUP(A3,[1]LERMA!$D:$I,6,0)</f>
        <v>1.1102000000000001</v>
      </c>
    </row>
    <row r="4" spans="1:4" x14ac:dyDescent="0.3">
      <c r="A4" s="2">
        <v>231170</v>
      </c>
      <c r="B4" s="2">
        <v>231170</v>
      </c>
      <c r="C4" s="3">
        <v>720</v>
      </c>
      <c r="D4" s="4">
        <f>VLOOKUP(A4,[1]LERMA!$D:$I,6,0)</f>
        <v>1.0909</v>
      </c>
    </row>
    <row r="5" spans="1:4" x14ac:dyDescent="0.3">
      <c r="A5" s="2">
        <v>231171</v>
      </c>
      <c r="B5" s="2">
        <v>231171</v>
      </c>
      <c r="C5" s="3">
        <v>703</v>
      </c>
      <c r="D5" s="4">
        <f>VLOOKUP(A5,[1]LERMA!$D:$I,6,0)</f>
        <v>1.2022999999999999</v>
      </c>
    </row>
    <row r="6" spans="1:4" x14ac:dyDescent="0.3">
      <c r="A6" s="2">
        <v>231172</v>
      </c>
      <c r="B6" s="2">
        <v>231172</v>
      </c>
      <c r="C6" s="3">
        <v>645</v>
      </c>
      <c r="D6" s="4">
        <f>VLOOKUP(A6,[1]LERMA!$D:$I,6,0)</f>
        <v>1.034</v>
      </c>
    </row>
    <row r="7" spans="1:4" x14ac:dyDescent="0.3">
      <c r="A7" s="2">
        <v>231173</v>
      </c>
      <c r="B7" s="2">
        <v>231173</v>
      </c>
      <c r="C7" s="3">
        <v>357</v>
      </c>
      <c r="D7" s="4">
        <f>VLOOKUP(A7,[1]LERMA!$D:$I,6,0)</f>
        <v>1.5538000000000001</v>
      </c>
    </row>
    <row r="8" spans="1:4" x14ac:dyDescent="0.3">
      <c r="A8" s="2">
        <v>231174</v>
      </c>
      <c r="B8" s="2">
        <v>231174</v>
      </c>
      <c r="C8" s="3">
        <v>669</v>
      </c>
      <c r="D8" s="4">
        <f>VLOOKUP(A8,[1]LERMA!$D:$I,6,0)</f>
        <v>1.5308999999999999</v>
      </c>
    </row>
    <row r="9" spans="1:4" x14ac:dyDescent="0.3">
      <c r="A9" s="2">
        <v>231175</v>
      </c>
      <c r="B9" s="2">
        <v>231175</v>
      </c>
      <c r="C9" s="3">
        <v>4335</v>
      </c>
      <c r="D9" s="4">
        <f>VLOOKUP(A9,[1]LERMA!$D:$I,6,0)</f>
        <v>0.80759999999999998</v>
      </c>
    </row>
    <row r="10" spans="1:4" x14ac:dyDescent="0.3">
      <c r="A10" s="2">
        <v>231176</v>
      </c>
      <c r="B10" s="2">
        <v>231176</v>
      </c>
      <c r="C10" s="3">
        <v>144407</v>
      </c>
      <c r="D10" s="4">
        <f>VLOOKUP(A10,[1]LERMA!$D:$I,6,0)</f>
        <v>0.88829999999999998</v>
      </c>
    </row>
    <row r="11" spans="1:4" x14ac:dyDescent="0.3">
      <c r="A11" s="2">
        <v>231177</v>
      </c>
      <c r="B11" s="2">
        <v>231177</v>
      </c>
      <c r="C11" s="3">
        <v>1195</v>
      </c>
      <c r="D11" s="4">
        <f>VLOOKUP(A11,[1]LERMA!$D:$I,6,0)</f>
        <v>1.1771</v>
      </c>
    </row>
    <row r="12" spans="1:4" x14ac:dyDescent="0.3">
      <c r="A12" s="2">
        <v>231178</v>
      </c>
      <c r="B12" s="2">
        <v>231178</v>
      </c>
      <c r="C12" s="3">
        <v>798</v>
      </c>
      <c r="D12" s="4">
        <f>VLOOKUP(A12,[1]LERMA!$D:$I,6,0)</f>
        <v>2.0114000000000001</v>
      </c>
    </row>
    <row r="13" spans="1:4" x14ac:dyDescent="0.3">
      <c r="A13" s="2">
        <v>231181</v>
      </c>
      <c r="B13" s="2">
        <v>231181</v>
      </c>
      <c r="C13" s="3">
        <v>1439</v>
      </c>
      <c r="D13" s="4">
        <f>VLOOKUP(A13,[1]LERMA!$D:$I,6,0)</f>
        <v>1.3894</v>
      </c>
    </row>
    <row r="14" spans="1:4" x14ac:dyDescent="0.3">
      <c r="A14" s="2">
        <v>231182</v>
      </c>
      <c r="B14" s="2">
        <v>231182</v>
      </c>
      <c r="C14" s="3">
        <v>1136</v>
      </c>
      <c r="D14" s="4">
        <f>VLOOKUP(A14,[1]LERMA!$D:$I,6,0)</f>
        <v>1.3696999999999999</v>
      </c>
    </row>
    <row r="15" spans="1:4" x14ac:dyDescent="0.3">
      <c r="A15" s="2">
        <v>231183</v>
      </c>
      <c r="B15" s="2">
        <v>231183</v>
      </c>
      <c r="C15" s="3">
        <v>1067</v>
      </c>
      <c r="D15" s="4">
        <f>VLOOKUP(A15,[1]LERMA!$D:$I,6,0)</f>
        <v>1.3784000000000001</v>
      </c>
    </row>
    <row r="16" spans="1:4" x14ac:dyDescent="0.3">
      <c r="A16" s="2">
        <v>231184</v>
      </c>
      <c r="B16" s="2">
        <v>231184</v>
      </c>
      <c r="C16" s="3">
        <v>1841</v>
      </c>
      <c r="D16" s="4">
        <f>VLOOKUP(A16,[1]LERMA!$D:$I,6,0)</f>
        <v>1.4529000000000001</v>
      </c>
    </row>
    <row r="17" spans="1:4" x14ac:dyDescent="0.3">
      <c r="A17" s="2">
        <v>231185</v>
      </c>
      <c r="B17" s="2">
        <v>231185</v>
      </c>
      <c r="C17" s="3">
        <v>1293</v>
      </c>
      <c r="D17" s="4">
        <f>VLOOKUP(A17,[1]LERMA!$D:$I,6,0)</f>
        <v>1.6067</v>
      </c>
    </row>
    <row r="18" spans="1:4" x14ac:dyDescent="0.3">
      <c r="A18" s="2">
        <v>231187</v>
      </c>
      <c r="B18" s="2">
        <v>231187</v>
      </c>
      <c r="C18" s="3">
        <v>1150</v>
      </c>
      <c r="D18" s="4">
        <f>VLOOKUP(A18,[1]LERMA!$D:$I,6,0)</f>
        <v>1.5427</v>
      </c>
    </row>
    <row r="19" spans="1:4" x14ac:dyDescent="0.3">
      <c r="A19" s="2">
        <v>231188</v>
      </c>
      <c r="B19" s="2">
        <v>231188</v>
      </c>
      <c r="C19" s="3">
        <v>1150</v>
      </c>
      <c r="D19" s="4">
        <f>VLOOKUP(A19,[1]LERMA!$D:$I,6,0)</f>
        <v>1.44</v>
      </c>
    </row>
    <row r="20" spans="1:4" x14ac:dyDescent="0.3">
      <c r="A20" s="2">
        <v>231189</v>
      </c>
      <c r="B20" s="2">
        <v>231189</v>
      </c>
      <c r="C20" s="3">
        <v>972</v>
      </c>
      <c r="D20" s="4">
        <f>VLOOKUP(A20,[1]LERMA!$D:$I,6,0)</f>
        <v>1.6135999999999999</v>
      </c>
    </row>
    <row r="21" spans="1:4" x14ac:dyDescent="0.3">
      <c r="A21" s="2">
        <v>231190</v>
      </c>
      <c r="B21" s="2">
        <v>231190</v>
      </c>
      <c r="C21" s="3">
        <v>972</v>
      </c>
      <c r="D21" s="4">
        <f>VLOOKUP(A21,[1]LERMA!$D:$I,6,0)</f>
        <v>1.7908999999999999</v>
      </c>
    </row>
    <row r="22" spans="1:4" x14ac:dyDescent="0.3">
      <c r="A22" s="2">
        <v>231191</v>
      </c>
      <c r="B22" s="2">
        <v>231191</v>
      </c>
      <c r="C22" s="3">
        <v>972</v>
      </c>
      <c r="D22" s="4">
        <f>VLOOKUP(A22,[1]LERMA!$D:$I,6,0)</f>
        <v>1.6920999999999999</v>
      </c>
    </row>
    <row r="23" spans="1:4" x14ac:dyDescent="0.3">
      <c r="A23" s="2">
        <v>231192</v>
      </c>
      <c r="B23" s="2">
        <v>231192</v>
      </c>
      <c r="C23" s="3">
        <v>972</v>
      </c>
      <c r="D23" s="4">
        <f>VLOOKUP(A23,[1]LERMA!$D:$I,6,0)</f>
        <v>1.7351000000000001</v>
      </c>
    </row>
    <row r="24" spans="1:4" x14ac:dyDescent="0.3">
      <c r="A24" s="2">
        <v>231193</v>
      </c>
      <c r="B24" s="2">
        <v>231193</v>
      </c>
      <c r="C24" s="3">
        <v>1244</v>
      </c>
      <c r="D24" s="4">
        <f>VLOOKUP(A24,[1]LERMA!$D:$I,6,0)</f>
        <v>1.5652999999999999</v>
      </c>
    </row>
    <row r="25" spans="1:4" x14ac:dyDescent="0.3">
      <c r="A25" s="2">
        <v>231194</v>
      </c>
      <c r="B25" s="2">
        <v>231194</v>
      </c>
      <c r="C25" s="3">
        <v>1164</v>
      </c>
      <c r="D25" s="4">
        <f>VLOOKUP(A25,[1]LERMA!$D:$I,6,0)</f>
        <v>1.601</v>
      </c>
    </row>
    <row r="26" spans="1:4" x14ac:dyDescent="0.3">
      <c r="A26" s="2">
        <v>231195</v>
      </c>
      <c r="B26" s="2">
        <v>231195</v>
      </c>
      <c r="C26" s="3">
        <v>1164</v>
      </c>
      <c r="D26" s="4">
        <f>VLOOKUP(A26,[1]LERMA!$D:$I,6,0)</f>
        <v>1.5019</v>
      </c>
    </row>
    <row r="27" spans="1:4" x14ac:dyDescent="0.3">
      <c r="A27" s="2">
        <v>231196</v>
      </c>
      <c r="B27" s="2">
        <v>231196</v>
      </c>
      <c r="C27" s="3">
        <v>1149</v>
      </c>
      <c r="D27" s="4">
        <f>VLOOKUP(A27,[1]LERMA!$D:$I,6,0)</f>
        <v>1.5632999999999999</v>
      </c>
    </row>
    <row r="28" spans="1:4" x14ac:dyDescent="0.3">
      <c r="A28" s="2">
        <v>231197</v>
      </c>
      <c r="B28" s="2">
        <v>231197</v>
      </c>
      <c r="C28" s="3">
        <v>972</v>
      </c>
      <c r="D28" s="4">
        <f>VLOOKUP(A28,[1]LERMA!$D:$I,6,0)</f>
        <v>1.7627999999999999</v>
      </c>
    </row>
    <row r="29" spans="1:4" x14ac:dyDescent="0.3">
      <c r="A29" s="2">
        <v>231198</v>
      </c>
      <c r="B29" s="2">
        <v>231198</v>
      </c>
      <c r="C29" s="3">
        <v>88164</v>
      </c>
      <c r="D29" s="4">
        <f>VLOOKUP(A29,[1]LERMA!$D:$I,6,0)</f>
        <v>1.6225000000000001</v>
      </c>
    </row>
    <row r="30" spans="1:4" x14ac:dyDescent="0.3">
      <c r="A30" s="2">
        <v>2091792</v>
      </c>
      <c r="B30" s="2">
        <v>2091792</v>
      </c>
      <c r="C30" s="3">
        <v>607</v>
      </c>
      <c r="D30" s="4">
        <f>VLOOKUP(A30,[1]LERMA!$D:$I,6,0)</f>
        <v>2.2067999999999999</v>
      </c>
    </row>
    <row r="31" spans="1:4" x14ac:dyDescent="0.3">
      <c r="A31" s="2" t="s">
        <v>4</v>
      </c>
      <c r="B31" s="2" t="s">
        <v>4</v>
      </c>
      <c r="C31" s="3">
        <v>591</v>
      </c>
      <c r="D31" s="4">
        <f>VLOOKUP(A31,[1]LERMA!$D:$I,6,0)</f>
        <v>1.9434</v>
      </c>
    </row>
    <row r="32" spans="1:4" x14ac:dyDescent="0.3">
      <c r="A32" s="2" t="s">
        <v>5</v>
      </c>
      <c r="B32" s="2" t="s">
        <v>5</v>
      </c>
      <c r="C32" s="3">
        <v>20</v>
      </c>
      <c r="D32" s="4">
        <f>VLOOKUP(A32,[1]LERMA!$D:$I,6,0)</f>
        <v>2.9068000000000001</v>
      </c>
    </row>
    <row r="33" spans="1:4" x14ac:dyDescent="0.3">
      <c r="A33" s="2" t="s">
        <v>6</v>
      </c>
      <c r="B33" s="2" t="s">
        <v>6</v>
      </c>
      <c r="C33" s="3">
        <v>1500</v>
      </c>
      <c r="D33" s="4">
        <f>VLOOKUP(A33,[1]LERMA!$D:$I,6,0)</f>
        <v>1.2476</v>
      </c>
    </row>
    <row r="34" spans="1:4" x14ac:dyDescent="0.3">
      <c r="A34" s="2" t="s">
        <v>7</v>
      </c>
      <c r="B34" s="2" t="s">
        <v>7</v>
      </c>
      <c r="C34" s="3">
        <v>1200</v>
      </c>
      <c r="D34" s="4">
        <f>VLOOKUP(A34,[1]LERMA!$D:$I,6,0)</f>
        <v>1.3947000000000001</v>
      </c>
    </row>
    <row r="35" spans="1:4" x14ac:dyDescent="0.3">
      <c r="A35" s="2" t="s">
        <v>8</v>
      </c>
      <c r="B35" s="2" t="s">
        <v>8</v>
      </c>
      <c r="C35" s="3">
        <v>720</v>
      </c>
      <c r="D35" s="4">
        <f>VLOOKUP(A35,[1]LERMA!$D:$I,6,0)</f>
        <v>1.7021999999999999</v>
      </c>
    </row>
    <row r="36" spans="1:4" x14ac:dyDescent="0.3">
      <c r="A36" s="2" t="s">
        <v>9</v>
      </c>
      <c r="B36" s="2" t="s">
        <v>9</v>
      </c>
      <c r="C36" s="3">
        <v>6290</v>
      </c>
      <c r="D36" s="4">
        <f>VLOOKUP(A36,[1]LERMA!$D:$I,6,0)</f>
        <v>1.7609999999999999</v>
      </c>
    </row>
    <row r="37" spans="1:4" x14ac:dyDescent="0.3">
      <c r="A37" s="2" t="s">
        <v>10</v>
      </c>
      <c r="B37" s="2" t="s">
        <v>10</v>
      </c>
      <c r="C37" s="3">
        <v>36260</v>
      </c>
      <c r="D37" s="4">
        <f>VLOOKUP(A37,[1]LERMA!$D:$I,6,0)</f>
        <v>1.3476999999999999</v>
      </c>
    </row>
    <row r="38" spans="1:4" x14ac:dyDescent="0.3">
      <c r="A38" s="2" t="s">
        <v>11</v>
      </c>
      <c r="B38" s="2" t="s">
        <v>11</v>
      </c>
      <c r="C38" s="3">
        <v>2960</v>
      </c>
      <c r="D38" s="4">
        <f>VLOOKUP(A38,[1]LERMA!$D:$I,6,0)</f>
        <v>1.4244000000000001</v>
      </c>
    </row>
    <row r="39" spans="1:4" x14ac:dyDescent="0.3">
      <c r="A39" s="2" t="s">
        <v>12</v>
      </c>
      <c r="B39" s="2" t="s">
        <v>12</v>
      </c>
      <c r="C39" s="3">
        <v>553</v>
      </c>
      <c r="D39" s="4">
        <f>VLOOKUP(A39,[1]LERMA!$D:$I,6,0)</f>
        <v>1.2498</v>
      </c>
    </row>
    <row r="40" spans="1:4" x14ac:dyDescent="0.3">
      <c r="A40" s="2" t="s">
        <v>13</v>
      </c>
      <c r="B40" s="2" t="s">
        <v>13</v>
      </c>
      <c r="C40" s="3">
        <v>338</v>
      </c>
      <c r="D40" s="4">
        <f>VLOOKUP(A40,[1]LERMA!$D:$I,6,0)</f>
        <v>1.3028</v>
      </c>
    </row>
    <row r="41" spans="1:4" x14ac:dyDescent="0.3">
      <c r="A41" s="2" t="s">
        <v>14</v>
      </c>
      <c r="B41" s="2" t="s">
        <v>14</v>
      </c>
      <c r="C41" s="3">
        <v>50018</v>
      </c>
      <c r="D41" s="4">
        <f>VLOOKUP(A41,[1]LERMA!$D:$I,6,0)</f>
        <v>2.0121000000000002</v>
      </c>
    </row>
    <row r="42" spans="1:4" x14ac:dyDescent="0.3">
      <c r="A42" s="2" t="s">
        <v>15</v>
      </c>
      <c r="B42" s="2" t="s">
        <v>15</v>
      </c>
      <c r="C42" s="3">
        <v>31152</v>
      </c>
      <c r="D42" s="4">
        <f>VLOOKUP(A42,[1]LERMA!$D:$I,6,0)</f>
        <v>2.2416</v>
      </c>
    </row>
    <row r="43" spans="1:4" x14ac:dyDescent="0.3">
      <c r="A43" s="2" t="s">
        <v>16</v>
      </c>
      <c r="B43" s="2" t="s">
        <v>16</v>
      </c>
      <c r="C43" s="3">
        <v>1056</v>
      </c>
      <c r="D43" s="4">
        <f>VLOOKUP(A43,[1]LERMA!$D:$I,6,0)</f>
        <v>1.5475000000000001</v>
      </c>
    </row>
    <row r="44" spans="1:4" x14ac:dyDescent="0.3">
      <c r="A44" s="2" t="s">
        <v>17</v>
      </c>
      <c r="B44" s="2" t="s">
        <v>17</v>
      </c>
      <c r="C44" s="3">
        <v>116680</v>
      </c>
      <c r="D44" s="4">
        <f>VLOOKUP(A44,[1]LERMA!$D:$I,6,0)</f>
        <v>2.4056000000000002</v>
      </c>
    </row>
    <row r="45" spans="1:4" x14ac:dyDescent="0.3">
      <c r="A45" s="2" t="s">
        <v>18</v>
      </c>
      <c r="B45" s="2" t="s">
        <v>18</v>
      </c>
      <c r="C45" s="3">
        <v>56138</v>
      </c>
      <c r="D45" s="4">
        <f>VLOOKUP(A45,[1]LERMA!$D:$I,6,0)</f>
        <v>2.2360000000000002</v>
      </c>
    </row>
    <row r="46" spans="1:4" x14ac:dyDescent="0.3">
      <c r="A46" s="2" t="s">
        <v>19</v>
      </c>
      <c r="B46" s="2" t="s">
        <v>19</v>
      </c>
      <c r="C46" s="3">
        <v>1035</v>
      </c>
      <c r="D46" s="4">
        <f>VLOOKUP(A46,[1]LERMA!$D:$I,6,0)</f>
        <v>2.6175000000000002</v>
      </c>
    </row>
    <row r="47" spans="1:4" x14ac:dyDescent="0.3">
      <c r="A47" s="2" t="s">
        <v>20</v>
      </c>
      <c r="B47" s="2" t="s">
        <v>20</v>
      </c>
      <c r="C47" s="3">
        <v>1504</v>
      </c>
      <c r="D47" s="4">
        <f>VLOOKUP(A47,[1]LERMA!$D:$I,6,0)</f>
        <v>2.7951999999999999</v>
      </c>
    </row>
    <row r="48" spans="1:4" x14ac:dyDescent="0.3">
      <c r="A48" s="2" t="s">
        <v>21</v>
      </c>
      <c r="B48" s="2" t="s">
        <v>21</v>
      </c>
      <c r="C48" s="3">
        <v>2112</v>
      </c>
      <c r="D48" s="4">
        <f>VLOOKUP(A48,[1]LERMA!$D:$I,6,0)</f>
        <v>2.7376999999999998</v>
      </c>
    </row>
    <row r="49" spans="1:4" x14ac:dyDescent="0.3">
      <c r="A49" s="2" t="s">
        <v>22</v>
      </c>
      <c r="B49" s="2" t="s">
        <v>22</v>
      </c>
      <c r="C49" s="3">
        <v>78144</v>
      </c>
      <c r="D49" s="4">
        <f>VLOOKUP(A49,[1]LERMA!$D:$I,6,0)</f>
        <v>2.5083000000000002</v>
      </c>
    </row>
    <row r="50" spans="1:4" x14ac:dyDescent="0.3">
      <c r="A50" s="2" t="s">
        <v>23</v>
      </c>
      <c r="B50" s="2" t="s">
        <v>23</v>
      </c>
      <c r="C50" s="3">
        <v>1553</v>
      </c>
      <c r="D50" s="4">
        <f>VLOOKUP(A50,[1]LERMA!$D:$I,6,0)</f>
        <v>1.5601</v>
      </c>
    </row>
    <row r="51" spans="1:4" x14ac:dyDescent="0.3">
      <c r="A51" s="2" t="s">
        <v>24</v>
      </c>
      <c r="B51" s="2" t="s">
        <v>24</v>
      </c>
      <c r="C51" s="3">
        <v>6300</v>
      </c>
      <c r="D51" s="4">
        <f>VLOOKUP(A51,[1]LERMA!$D:$I,6,0)</f>
        <v>1.4599</v>
      </c>
    </row>
    <row r="52" spans="1:4" x14ac:dyDescent="0.3">
      <c r="A52" s="2" t="s">
        <v>25</v>
      </c>
      <c r="B52" s="2" t="s">
        <v>25</v>
      </c>
      <c r="C52" s="3">
        <v>465961</v>
      </c>
      <c r="D52" s="4">
        <f>VLOOKUP(A52,[1]LERMA!$D:$I,6,0)</f>
        <v>1.333</v>
      </c>
    </row>
    <row r="53" spans="1:4" x14ac:dyDescent="0.3">
      <c r="A53" s="2" t="s">
        <v>26</v>
      </c>
      <c r="B53" s="2" t="s">
        <v>26</v>
      </c>
      <c r="C53" s="3">
        <v>1260</v>
      </c>
      <c r="D53" s="4">
        <f>VLOOKUP(A53,[1]LERMA!$D:$I,6,0)</f>
        <v>1.8960999999999999</v>
      </c>
    </row>
    <row r="54" spans="1:4" x14ac:dyDescent="0.3">
      <c r="A54" s="2" t="s">
        <v>27</v>
      </c>
      <c r="B54" s="2" t="s">
        <v>27</v>
      </c>
      <c r="C54" s="3">
        <v>23940</v>
      </c>
      <c r="D54" s="4">
        <f>VLOOKUP(A54,[1]LERMA!$D:$I,6,0)</f>
        <v>1.3834</v>
      </c>
    </row>
    <row r="55" spans="1:4" x14ac:dyDescent="0.3">
      <c r="A55" s="2" t="s">
        <v>28</v>
      </c>
      <c r="B55" s="2" t="s">
        <v>28</v>
      </c>
      <c r="C55" s="3">
        <v>36540</v>
      </c>
      <c r="D55" s="4">
        <f>VLOOKUP(A55,[1]LERMA!$D:$I,6,0)</f>
        <v>1.1900999999999999</v>
      </c>
    </row>
    <row r="56" spans="1:4" x14ac:dyDescent="0.3">
      <c r="A56" s="2" t="s">
        <v>29</v>
      </c>
      <c r="B56" s="2" t="s">
        <v>29</v>
      </c>
      <c r="C56" s="3">
        <v>18814</v>
      </c>
      <c r="D56" s="4">
        <f>VLOOKUP(A56,[1]LERMA!$D:$I,6,0)</f>
        <v>1.3190999999999999</v>
      </c>
    </row>
    <row r="57" spans="1:4" x14ac:dyDescent="0.3">
      <c r="A57" s="2" t="s">
        <v>30</v>
      </c>
      <c r="B57" s="2" t="s">
        <v>30</v>
      </c>
      <c r="C57" s="3">
        <v>81</v>
      </c>
      <c r="D57" s="4">
        <f>VLOOKUP(A57,[1]LERMA!$D:$I,6,0)</f>
        <v>1.9395</v>
      </c>
    </row>
    <row r="58" spans="1:4" x14ac:dyDescent="0.3">
      <c r="A58" s="2" t="s">
        <v>31</v>
      </c>
      <c r="B58" s="2" t="s">
        <v>31</v>
      </c>
      <c r="C58" s="3">
        <v>13192</v>
      </c>
      <c r="D58" s="4">
        <f>VLOOKUP(A58,[1]LERMA!$D:$I,6,0)</f>
        <v>1.8310999999999999</v>
      </c>
    </row>
    <row r="59" spans="1:4" x14ac:dyDescent="0.3">
      <c r="A59" s="2" t="s">
        <v>32</v>
      </c>
      <c r="B59" s="2" t="s">
        <v>32</v>
      </c>
      <c r="C59" s="3">
        <v>34398</v>
      </c>
      <c r="D59" s="4">
        <f>VLOOKUP(A59,[1]LERMA!$D:$I,6,0)</f>
        <v>1.7230000000000001</v>
      </c>
    </row>
    <row r="60" spans="1:4" x14ac:dyDescent="0.3">
      <c r="A60" s="2" t="s">
        <v>33</v>
      </c>
      <c r="B60" s="2" t="s">
        <v>33</v>
      </c>
      <c r="C60" s="3">
        <v>28731</v>
      </c>
      <c r="D60" s="4">
        <f>VLOOKUP(A60,[1]LERMA!$D:$I,6,0)</f>
        <v>2.0047000000000001</v>
      </c>
    </row>
    <row r="61" spans="1:4" x14ac:dyDescent="0.3">
      <c r="A61" s="2" t="s">
        <v>34</v>
      </c>
      <c r="B61" s="2" t="s">
        <v>34</v>
      </c>
      <c r="C61" s="3">
        <v>154581</v>
      </c>
      <c r="D61" s="4">
        <f>VLOOKUP(A61,[1]LERMA!$D:$I,6,0)</f>
        <v>1.1837</v>
      </c>
    </row>
    <row r="62" spans="1:4" x14ac:dyDescent="0.3">
      <c r="A62" s="2" t="s">
        <v>35</v>
      </c>
      <c r="B62" s="2" t="s">
        <v>35</v>
      </c>
      <c r="C62" s="3">
        <v>5256</v>
      </c>
      <c r="D62" s="4">
        <f>VLOOKUP(A62,[1]LERMA!$D:$I,6,0)</f>
        <v>1.0783</v>
      </c>
    </row>
    <row r="63" spans="1:4" x14ac:dyDescent="0.3">
      <c r="A63" s="2" t="s">
        <v>36</v>
      </c>
      <c r="B63" s="2" t="s">
        <v>36</v>
      </c>
      <c r="C63" s="3">
        <v>16697</v>
      </c>
      <c r="D63" s="4">
        <f>VLOOKUP(A63,[1]LERMA!$D:$I,6,0)</f>
        <v>0.64600000000000002</v>
      </c>
    </row>
    <row r="64" spans="1:4" x14ac:dyDescent="0.3">
      <c r="A64" s="2" t="s">
        <v>37</v>
      </c>
      <c r="B64" s="2" t="s">
        <v>37</v>
      </c>
      <c r="C64" s="3">
        <v>206955</v>
      </c>
      <c r="D64" s="4">
        <f>VLOOKUP(A64,[1]LERMA!$D:$I,6,0)</f>
        <v>0.45550000000000002</v>
      </c>
    </row>
    <row r="65" spans="1:4" x14ac:dyDescent="0.3">
      <c r="A65" s="2" t="s">
        <v>38</v>
      </c>
      <c r="B65" s="2" t="s">
        <v>38</v>
      </c>
      <c r="C65" s="3">
        <v>102419</v>
      </c>
      <c r="D65" s="4">
        <f>VLOOKUP(A65,[1]LERMA!$D:$I,6,0)</f>
        <v>1.6437999999999999</v>
      </c>
    </row>
    <row r="66" spans="1:4" x14ac:dyDescent="0.3">
      <c r="A66" s="2" t="s">
        <v>39</v>
      </c>
      <c r="B66" s="2" t="s">
        <v>39</v>
      </c>
      <c r="C66" s="3">
        <v>639</v>
      </c>
      <c r="D66" s="4">
        <f>VLOOKUP(A66,[1]LERMA!$D:$I,6,0)</f>
        <v>2.9605999999999999</v>
      </c>
    </row>
    <row r="67" spans="1:4" x14ac:dyDescent="0.3">
      <c r="A67" s="2" t="s">
        <v>40</v>
      </c>
      <c r="B67" s="2" t="s">
        <v>40</v>
      </c>
      <c r="C67" s="3">
        <v>68536</v>
      </c>
      <c r="D67" s="4">
        <f>VLOOKUP(A67,[1]LERMA!$D:$I,6,0)</f>
        <v>1.3</v>
      </c>
    </row>
    <row r="68" spans="1:4" x14ac:dyDescent="0.3">
      <c r="A68" s="2" t="s">
        <v>41</v>
      </c>
      <c r="B68" s="2" t="s">
        <v>41</v>
      </c>
      <c r="C68" s="3">
        <v>15547</v>
      </c>
      <c r="D68" s="4">
        <f>VLOOKUP(A68,[1]LERMA!$D:$I,6,0)</f>
        <v>3.4306000000000001</v>
      </c>
    </row>
    <row r="69" spans="1:4" x14ac:dyDescent="0.3">
      <c r="A69" s="2" t="s">
        <v>42</v>
      </c>
      <c r="B69" s="2" t="s">
        <v>42</v>
      </c>
      <c r="C69" s="3">
        <v>52966</v>
      </c>
      <c r="D69" s="4">
        <f>VLOOKUP(A69,[1]LERMA!$D:$I,6,0)</f>
        <v>1.2615000000000001</v>
      </c>
    </row>
    <row r="70" spans="1:4" x14ac:dyDescent="0.3">
      <c r="A70" s="2" t="s">
        <v>43</v>
      </c>
      <c r="B70" s="2" t="s">
        <v>43</v>
      </c>
      <c r="C70" s="3">
        <v>1264</v>
      </c>
      <c r="D70" s="4">
        <f>VLOOKUP(A70,[1]LERMA!$D:$I,6,0)</f>
        <v>1.7159</v>
      </c>
    </row>
    <row r="71" spans="1:4" x14ac:dyDescent="0.3">
      <c r="A71" s="2" t="s">
        <v>44</v>
      </c>
      <c r="B71" s="2" t="s">
        <v>44</v>
      </c>
      <c r="C71" s="3">
        <v>948</v>
      </c>
      <c r="D71" s="4">
        <f>VLOOKUP(A71,[1]LERMA!$D:$I,6,0)</f>
        <v>1.81</v>
      </c>
    </row>
    <row r="72" spans="1:4" x14ac:dyDescent="0.3">
      <c r="A72" s="2" t="s">
        <v>45</v>
      </c>
      <c r="B72" s="2" t="s">
        <v>45</v>
      </c>
      <c r="C72" s="3">
        <v>90644</v>
      </c>
      <c r="D72" s="4">
        <f>VLOOKUP(A72,[1]LERMA!$D:$I,6,0)</f>
        <v>2.1478999999999999</v>
      </c>
    </row>
    <row r="73" spans="1:4" x14ac:dyDescent="0.3">
      <c r="A73" s="2" t="s">
        <v>46</v>
      </c>
      <c r="B73" s="2" t="s">
        <v>46</v>
      </c>
      <c r="C73" s="3">
        <v>111744</v>
      </c>
      <c r="D73" s="4">
        <f>VLOOKUP(A73,[1]LERMA!$D:$I,6,0)</f>
        <v>0.104</v>
      </c>
    </row>
    <row r="74" spans="1:4" x14ac:dyDescent="0.3">
      <c r="A74" s="2" t="s">
        <v>47</v>
      </c>
      <c r="B74" s="2" t="s">
        <v>47</v>
      </c>
      <c r="C74" s="3">
        <v>23862</v>
      </c>
      <c r="D74" s="4">
        <f>VLOOKUP(A74,[1]LERMA!$D:$I,6,0)</f>
        <v>2.9474999999999998</v>
      </c>
    </row>
    <row r="75" spans="1:4" x14ac:dyDescent="0.3">
      <c r="A75" s="2" t="s">
        <v>48</v>
      </c>
      <c r="B75" s="2" t="s">
        <v>48</v>
      </c>
      <c r="C75" s="3">
        <v>355745</v>
      </c>
      <c r="D75" s="4">
        <f>VLOOKUP(A75,[1]LERMA!$D:$I,6,0)</f>
        <v>2.1673</v>
      </c>
    </row>
    <row r="76" spans="1:4" x14ac:dyDescent="0.3">
      <c r="A76" s="2" t="s">
        <v>49</v>
      </c>
      <c r="B76" s="2" t="s">
        <v>49</v>
      </c>
      <c r="C76" s="3">
        <v>192491</v>
      </c>
      <c r="D76" s="4">
        <f>VLOOKUP(A76,[1]LERMA!$D:$I,6,0)</f>
        <v>2.2012999999999998</v>
      </c>
    </row>
    <row r="77" spans="1:4" x14ac:dyDescent="0.3">
      <c r="A77" s="2" t="s">
        <v>50</v>
      </c>
      <c r="B77" s="2" t="s">
        <v>50</v>
      </c>
      <c r="C77" s="3">
        <v>13013</v>
      </c>
      <c r="D77" s="4">
        <f>VLOOKUP(A77,[1]LERMA!$D:$I,6,0)</f>
        <v>2.2629000000000001</v>
      </c>
    </row>
    <row r="78" spans="1:4" x14ac:dyDescent="0.3">
      <c r="A78" s="2" t="s">
        <v>51</v>
      </c>
      <c r="B78" s="2" t="s">
        <v>51</v>
      </c>
      <c r="C78" s="3">
        <v>16900</v>
      </c>
      <c r="D78" s="4">
        <f>VLOOKUP(A78,[1]LERMA!$D:$I,6,0)</f>
        <v>2.5945</v>
      </c>
    </row>
    <row r="79" spans="1:4" x14ac:dyDescent="0.3">
      <c r="A79" s="2" t="s">
        <v>52</v>
      </c>
      <c r="B79" s="2" t="s">
        <v>52</v>
      </c>
      <c r="C79" s="3">
        <v>44109</v>
      </c>
      <c r="D79" s="4">
        <f>VLOOKUP(A79,[1]LERMA!$D:$I,6,0)</f>
        <v>2.7121</v>
      </c>
    </row>
    <row r="80" spans="1:4" x14ac:dyDescent="0.3">
      <c r="A80" s="2" t="s">
        <v>53</v>
      </c>
      <c r="B80" s="2" t="s">
        <v>53</v>
      </c>
      <c r="C80" s="3">
        <v>479</v>
      </c>
      <c r="D80" s="4">
        <f>VLOOKUP(A80,[1]LERMA!$D:$I,6,0)</f>
        <v>2.9186000000000001</v>
      </c>
    </row>
    <row r="81" spans="1:4" x14ac:dyDescent="0.3">
      <c r="A81" s="2" t="s">
        <v>54</v>
      </c>
      <c r="B81" s="2" t="s">
        <v>54</v>
      </c>
      <c r="C81" s="3">
        <v>10586</v>
      </c>
      <c r="D81" s="4">
        <f>VLOOKUP(A81,[1]LERMA!$D:$I,6,0)</f>
        <v>3.5059</v>
      </c>
    </row>
    <row r="82" spans="1:4" x14ac:dyDescent="0.3">
      <c r="A82" s="2" t="s">
        <v>55</v>
      </c>
      <c r="B82" s="2" t="s">
        <v>55</v>
      </c>
      <c r="C82" s="3">
        <v>685</v>
      </c>
      <c r="D82" s="4">
        <f>VLOOKUP(A82,[1]LERMA!$D:$I,6,0)</f>
        <v>2.0623999999999998</v>
      </c>
    </row>
    <row r="83" spans="1:4" x14ac:dyDescent="0.3">
      <c r="A83" s="2" t="s">
        <v>56</v>
      </c>
      <c r="B83" s="2" t="s">
        <v>56</v>
      </c>
      <c r="C83" s="3">
        <v>6422</v>
      </c>
      <c r="D83" s="4">
        <f>VLOOKUP(A83,[1]LERMA!$D:$I,6,0)</f>
        <v>1.778</v>
      </c>
    </row>
    <row r="84" spans="1:4" x14ac:dyDescent="0.3">
      <c r="A84" s="2" t="s">
        <v>57</v>
      </c>
      <c r="B84" s="2" t="s">
        <v>57</v>
      </c>
      <c r="C84" s="3">
        <v>21175</v>
      </c>
      <c r="D84" s="4">
        <f>VLOOKUP(A84,[1]LERMA!$D:$I,6,0)</f>
        <v>3.2761</v>
      </c>
    </row>
    <row r="85" spans="1:4" x14ac:dyDescent="0.3">
      <c r="A85" s="2" t="s">
        <v>58</v>
      </c>
      <c r="B85" s="2" t="s">
        <v>58</v>
      </c>
      <c r="C85" s="3">
        <v>57986</v>
      </c>
      <c r="D85" s="4">
        <f>VLOOKUP(A85,[1]LERMA!$D:$I,6,0)</f>
        <v>3.6131000000000002</v>
      </c>
    </row>
    <row r="86" spans="1:4" x14ac:dyDescent="0.3">
      <c r="A86" s="2" t="s">
        <v>59</v>
      </c>
      <c r="B86" s="2" t="s">
        <v>59</v>
      </c>
      <c r="C86" s="3">
        <v>981</v>
      </c>
      <c r="D86" s="4">
        <f>VLOOKUP(A86,[1]LERMA!$D:$I,6,0)</f>
        <v>4.9659000000000004</v>
      </c>
    </row>
    <row r="87" spans="1:4" x14ac:dyDescent="0.3">
      <c r="A87" s="2" t="s">
        <v>60</v>
      </c>
      <c r="B87" s="2" t="s">
        <v>60</v>
      </c>
      <c r="C87" s="3">
        <v>130770</v>
      </c>
      <c r="D87" s="4">
        <f>VLOOKUP(A87,[1]LERMA!$D:$I,6,0)</f>
        <v>5.9725999999999999</v>
      </c>
    </row>
    <row r="88" spans="1:4" x14ac:dyDescent="0.3">
      <c r="A88" s="2" t="s">
        <v>61</v>
      </c>
      <c r="B88" s="2" t="s">
        <v>61</v>
      </c>
      <c r="C88" s="3">
        <v>21117</v>
      </c>
      <c r="D88" s="4">
        <f>VLOOKUP(A88,[1]LERMA!$D:$I,6,0)</f>
        <v>5.8009000000000004</v>
      </c>
    </row>
    <row r="89" spans="1:4" x14ac:dyDescent="0.3">
      <c r="A89" s="2" t="s">
        <v>62</v>
      </c>
      <c r="B89" s="2" t="s">
        <v>62</v>
      </c>
      <c r="C89" s="3">
        <v>834</v>
      </c>
      <c r="D89" s="4">
        <f>VLOOKUP(A89,[1]LERMA!$D:$I,6,0)</f>
        <v>6.5216000000000003</v>
      </c>
    </row>
    <row r="90" spans="1:4" x14ac:dyDescent="0.3">
      <c r="A90" s="2" t="s">
        <v>63</v>
      </c>
      <c r="B90" s="2" t="s">
        <v>63</v>
      </c>
      <c r="C90" s="3">
        <v>2028</v>
      </c>
      <c r="D90" s="4">
        <f>VLOOKUP(A90,[1]LERMA!$D:$I,6,0)</f>
        <v>5.6348000000000003</v>
      </c>
    </row>
    <row r="91" spans="1:4" x14ac:dyDescent="0.3">
      <c r="A91" s="2" t="s">
        <v>64</v>
      </c>
      <c r="B91" s="2" t="s">
        <v>64</v>
      </c>
      <c r="C91" s="3">
        <v>44778</v>
      </c>
      <c r="D91" s="4">
        <f>VLOOKUP(A91,[1]LERMA!$D:$I,6,0)</f>
        <v>11.294700000000001</v>
      </c>
    </row>
    <row r="92" spans="1:4" x14ac:dyDescent="0.3">
      <c r="A92" s="2" t="s">
        <v>65</v>
      </c>
      <c r="B92" s="2" t="s">
        <v>65</v>
      </c>
      <c r="C92" s="3">
        <v>28210</v>
      </c>
      <c r="D92" s="4">
        <f>VLOOKUP(A92,[1]LERMA!$D:$I,6,0)</f>
        <v>10.486499999999999</v>
      </c>
    </row>
    <row r="93" spans="1:4" x14ac:dyDescent="0.3">
      <c r="A93" s="2" t="s">
        <v>66</v>
      </c>
      <c r="B93" s="2" t="s">
        <v>66</v>
      </c>
      <c r="C93" s="3">
        <v>18580</v>
      </c>
      <c r="D93" s="4">
        <f>VLOOKUP(A93,[1]LERMA!$D:$I,6,0)</f>
        <v>0.32050000000000001</v>
      </c>
    </row>
    <row r="94" spans="1:4" x14ac:dyDescent="0.3">
      <c r="A94" s="2" t="s">
        <v>67</v>
      </c>
      <c r="B94" s="2" t="s">
        <v>67</v>
      </c>
      <c r="C94" s="3">
        <v>49</v>
      </c>
      <c r="D94" s="4">
        <f>VLOOKUP(A94,[1]LERMA!$D:$I,6,0)</f>
        <v>26.498100000000001</v>
      </c>
    </row>
    <row r="95" spans="1:4" x14ac:dyDescent="0.3">
      <c r="A95" s="2" t="s">
        <v>68</v>
      </c>
      <c r="B95" s="2" t="s">
        <v>68</v>
      </c>
      <c r="C95" s="3">
        <v>2140</v>
      </c>
      <c r="D95" s="4">
        <f>VLOOKUP(A95,[1]LERMA!$D:$I,6,0)</f>
        <v>21.3979</v>
      </c>
    </row>
    <row r="96" spans="1:4" x14ac:dyDescent="0.3">
      <c r="A96" s="2" t="s">
        <v>69</v>
      </c>
      <c r="B96" s="2" t="s">
        <v>69</v>
      </c>
      <c r="C96" s="3">
        <v>1244</v>
      </c>
      <c r="D96" s="4">
        <f>VLOOKUP(A96,[1]LERMA!$D:$I,6,0)</f>
        <v>11.596</v>
      </c>
    </row>
    <row r="97" spans="1:4" x14ac:dyDescent="0.3">
      <c r="A97" s="2" t="s">
        <v>70</v>
      </c>
      <c r="B97" s="2" t="s">
        <v>70</v>
      </c>
      <c r="C97" s="3">
        <v>2948</v>
      </c>
      <c r="D97" s="4">
        <f>VLOOKUP(A97,[1]LERMA!$D:$I,6,0)</f>
        <v>15.125400000000001</v>
      </c>
    </row>
    <row r="98" spans="1:4" x14ac:dyDescent="0.3">
      <c r="A98" s="2" t="s">
        <v>71</v>
      </c>
      <c r="B98" s="2" t="s">
        <v>71</v>
      </c>
      <c r="C98" s="3">
        <v>4090</v>
      </c>
      <c r="D98" s="4">
        <f>VLOOKUP(A98,[1]LERMA!$D:$I,6,0)</f>
        <v>12.103400000000001</v>
      </c>
    </row>
    <row r="99" spans="1:4" x14ac:dyDescent="0.3">
      <c r="A99" s="2" t="s">
        <v>72</v>
      </c>
      <c r="B99" s="2" t="s">
        <v>72</v>
      </c>
      <c r="C99" s="3">
        <v>1188</v>
      </c>
      <c r="D99" s="4">
        <f>VLOOKUP(A99,[1]LERMA!$D:$I,6,0)</f>
        <v>1.2453000000000001</v>
      </c>
    </row>
    <row r="100" spans="1:4" x14ac:dyDescent="0.3">
      <c r="A100" s="2" t="s">
        <v>73</v>
      </c>
      <c r="B100" s="2" t="s">
        <v>73</v>
      </c>
      <c r="C100" s="3">
        <v>188</v>
      </c>
      <c r="D100" s="4">
        <f>VLOOKUP(A100,[1]LERMA!$D:$I,6,0)</f>
        <v>2.0266999999999999</v>
      </c>
    </row>
    <row r="101" spans="1:4" x14ac:dyDescent="0.3">
      <c r="A101" s="2" t="s">
        <v>74</v>
      </c>
      <c r="B101" s="2" t="s">
        <v>74</v>
      </c>
      <c r="C101" s="3">
        <v>26718</v>
      </c>
      <c r="D101" s="4">
        <f>VLOOKUP(A101,[1]LERMA!$D:$I,6,0)</f>
        <v>19.334299999999999</v>
      </c>
    </row>
    <row r="102" spans="1:4" x14ac:dyDescent="0.3">
      <c r="A102" s="2" t="s">
        <v>75</v>
      </c>
      <c r="B102" s="2" t="s">
        <v>75</v>
      </c>
      <c r="C102" s="3">
        <v>2538</v>
      </c>
      <c r="D102" s="4">
        <f>VLOOKUP(A102,[1]LERMA!$D:$I,6,0)</f>
        <v>15.316800000000001</v>
      </c>
    </row>
    <row r="103" spans="1:4" x14ac:dyDescent="0.3">
      <c r="A103" s="2" t="s">
        <v>76</v>
      </c>
      <c r="B103" s="2" t="s">
        <v>76</v>
      </c>
      <c r="C103" s="3">
        <v>8670</v>
      </c>
      <c r="D103" s="4">
        <f>VLOOKUP(A103,[1]LERMA!$D:$I,6,0)</f>
        <v>27.018999999999998</v>
      </c>
    </row>
    <row r="104" spans="1:4" x14ac:dyDescent="0.3">
      <c r="A104" s="2" t="s">
        <v>77</v>
      </c>
      <c r="B104" s="2" t="s">
        <v>77</v>
      </c>
      <c r="C104" s="3">
        <v>5245</v>
      </c>
      <c r="D104" s="4">
        <f>VLOOKUP(A104,[1]LERMA!$D:$I,6,0)</f>
        <v>14.9261</v>
      </c>
    </row>
    <row r="105" spans="1:4" x14ac:dyDescent="0.3">
      <c r="A105" s="2" t="s">
        <v>78</v>
      </c>
      <c r="B105" s="2" t="s">
        <v>78</v>
      </c>
      <c r="C105" s="3">
        <v>2755</v>
      </c>
      <c r="D105" s="4">
        <f>VLOOKUP(A105,[1]LERMA!$D:$I,6,0)</f>
        <v>17.558399999999999</v>
      </c>
    </row>
    <row r="106" spans="1:4" x14ac:dyDescent="0.3">
      <c r="A106" s="2" t="s">
        <v>79</v>
      </c>
      <c r="B106" s="2" t="s">
        <v>79</v>
      </c>
      <c r="C106" s="3">
        <v>30</v>
      </c>
      <c r="D106" s="4">
        <f>VLOOKUP(A106,[1]LERMA!$D:$I,6,0)</f>
        <v>314</v>
      </c>
    </row>
    <row r="107" spans="1:4" x14ac:dyDescent="0.3">
      <c r="A107" s="2" t="s">
        <v>80</v>
      </c>
      <c r="B107" s="2" t="s">
        <v>80</v>
      </c>
      <c r="C107" s="3">
        <v>1535</v>
      </c>
      <c r="D107" s="4">
        <f>VLOOKUP(A107,[1]LERMA!$D:$I,6,0)</f>
        <v>27.613</v>
      </c>
    </row>
    <row r="108" spans="1:4" x14ac:dyDescent="0.3">
      <c r="A108" s="2" t="s">
        <v>81</v>
      </c>
      <c r="B108" s="2" t="s">
        <v>81</v>
      </c>
      <c r="C108" s="3">
        <v>1349</v>
      </c>
      <c r="D108" s="4">
        <f>VLOOKUP(A108,[1]LERMA!$D:$I,6,0)</f>
        <v>30</v>
      </c>
    </row>
    <row r="109" spans="1:4" x14ac:dyDescent="0.3">
      <c r="A109" s="2" t="s">
        <v>82</v>
      </c>
      <c r="B109" s="2" t="s">
        <v>82</v>
      </c>
      <c r="C109" s="3">
        <v>320</v>
      </c>
      <c r="D109" s="4">
        <f>VLOOKUP(A109,[1]LERMA!$D:$I,6,0)</f>
        <v>45.338000000000001</v>
      </c>
    </row>
    <row r="110" spans="1:4" x14ac:dyDescent="0.3">
      <c r="A110" s="2" t="s">
        <v>83</v>
      </c>
      <c r="B110" s="2" t="s">
        <v>83</v>
      </c>
      <c r="C110" s="3">
        <v>500</v>
      </c>
      <c r="D110" s="4">
        <f>VLOOKUP(A110,[1]LERMA!$D:$I,6,0)</f>
        <v>6.1635999999999997</v>
      </c>
    </row>
    <row r="111" spans="1:4" x14ac:dyDescent="0.3">
      <c r="A111" s="2" t="s">
        <v>84</v>
      </c>
      <c r="B111" s="2" t="s">
        <v>84</v>
      </c>
      <c r="C111" s="3">
        <v>13500</v>
      </c>
      <c r="D111" s="4">
        <f>VLOOKUP(A111,[1]LERMA!$D:$I,6,0)</f>
        <v>4.4429999999999996</v>
      </c>
    </row>
    <row r="112" spans="1:4" x14ac:dyDescent="0.3">
      <c r="A112" s="2" t="s">
        <v>85</v>
      </c>
      <c r="B112" s="2" t="s">
        <v>85</v>
      </c>
      <c r="C112" s="3">
        <v>450</v>
      </c>
      <c r="D112" s="4">
        <f>VLOOKUP(A112,[1]LERMA!$D:$I,6,0)</f>
        <v>18.3</v>
      </c>
    </row>
    <row r="113" spans="1:4" x14ac:dyDescent="0.3">
      <c r="A113" s="2" t="s">
        <v>86</v>
      </c>
      <c r="B113" s="2" t="s">
        <v>86</v>
      </c>
      <c r="C113" s="3">
        <v>574</v>
      </c>
      <c r="D113" s="4">
        <f>VLOOKUP(A113,[1]LERMA!$D:$I,6,0)</f>
        <v>16.22</v>
      </c>
    </row>
    <row r="114" spans="1:4" x14ac:dyDescent="0.3">
      <c r="A114" s="2" t="s">
        <v>87</v>
      </c>
      <c r="B114" s="2" t="s">
        <v>87</v>
      </c>
      <c r="C114" s="3">
        <v>245</v>
      </c>
      <c r="D114" s="4">
        <f>VLOOKUP(A114,[1]LERMA!$D:$I,6,0)</f>
        <v>37.947299999999998</v>
      </c>
    </row>
    <row r="115" spans="1:4" x14ac:dyDescent="0.3">
      <c r="A115" s="2" t="s">
        <v>88</v>
      </c>
      <c r="B115" s="2" t="s">
        <v>88</v>
      </c>
      <c r="C115" s="3">
        <v>4377</v>
      </c>
      <c r="D115" s="4">
        <f>VLOOKUP(A115,[1]LERMA!$D:$I,6,0)</f>
        <v>8.0556000000000001</v>
      </c>
    </row>
    <row r="116" spans="1:4" x14ac:dyDescent="0.3">
      <c r="A116" s="2" t="s">
        <v>89</v>
      </c>
      <c r="B116" s="2" t="s">
        <v>89</v>
      </c>
      <c r="C116" s="3">
        <v>3572</v>
      </c>
      <c r="D116" s="4">
        <f>VLOOKUP(A116,[1]LERMA!$D:$I,6,0)</f>
        <v>51.061300000000003</v>
      </c>
    </row>
    <row r="117" spans="1:4" x14ac:dyDescent="0.3">
      <c r="A117" s="2" t="s">
        <v>90</v>
      </c>
      <c r="B117" s="2" t="s">
        <v>90</v>
      </c>
      <c r="C117" s="3">
        <v>34</v>
      </c>
      <c r="D117" s="4">
        <f>VLOOKUP(A117,[1]LERMA!$D:$I,6,0)</f>
        <v>42.121699999999997</v>
      </c>
    </row>
    <row r="118" spans="1:4" x14ac:dyDescent="0.3">
      <c r="A118" s="2" t="s">
        <v>91</v>
      </c>
      <c r="B118" s="2" t="s">
        <v>91</v>
      </c>
      <c r="C118" s="3">
        <v>321</v>
      </c>
      <c r="D118" s="4">
        <f>VLOOKUP(A118,[1]LERMA!$D:$I,6,0)</f>
        <v>5.8109999999999999</v>
      </c>
    </row>
    <row r="119" spans="1:4" x14ac:dyDescent="0.3">
      <c r="A119" s="2" t="s">
        <v>92</v>
      </c>
      <c r="B119" s="2" t="s">
        <v>92</v>
      </c>
      <c r="C119" s="3">
        <v>19743</v>
      </c>
      <c r="D119" s="4">
        <f>VLOOKUP(A119,[1]LERMA!$D:$I,6,0)</f>
        <v>80.440799999999996</v>
      </c>
    </row>
    <row r="120" spans="1:4" x14ac:dyDescent="0.3">
      <c r="A120" s="2" t="s">
        <v>93</v>
      </c>
      <c r="B120" s="2" t="s">
        <v>93</v>
      </c>
      <c r="C120" s="3">
        <v>2270</v>
      </c>
      <c r="D120" s="4">
        <f>VLOOKUP(A120,[1]LERMA!$D:$I,6,0)</f>
        <v>82.537000000000006</v>
      </c>
    </row>
    <row r="121" spans="1:4" x14ac:dyDescent="0.3">
      <c r="A121" s="2" t="s">
        <v>94</v>
      </c>
      <c r="B121" s="2" t="s">
        <v>94</v>
      </c>
      <c r="C121" s="3">
        <v>700</v>
      </c>
      <c r="D121" s="4">
        <f>VLOOKUP(A121,[1]LERMA!$D:$I,6,0)</f>
        <v>95.997200000000007</v>
      </c>
    </row>
    <row r="122" spans="1:4" x14ac:dyDescent="0.3">
      <c r="A122" s="2" t="s">
        <v>95</v>
      </c>
      <c r="B122" s="2" t="s">
        <v>95</v>
      </c>
      <c r="C122" s="3">
        <v>298</v>
      </c>
      <c r="D122" s="4">
        <f>VLOOKUP(A122,[1]LERMA!$D:$I,6,0)</f>
        <v>882.07270000000005</v>
      </c>
    </row>
    <row r="123" spans="1:4" x14ac:dyDescent="0.3">
      <c r="A123" s="2" t="s">
        <v>96</v>
      </c>
      <c r="B123" s="2" t="s">
        <v>96</v>
      </c>
      <c r="C123" s="3">
        <v>25</v>
      </c>
      <c r="D123" s="4">
        <f>VLOOKUP(A123,[1]LERMA!$D:$I,6,0)</f>
        <v>98.131600000000006</v>
      </c>
    </row>
    <row r="124" spans="1:4" x14ac:dyDescent="0.3">
      <c r="A124" s="2" t="s">
        <v>97</v>
      </c>
      <c r="B124" s="2" t="s">
        <v>97</v>
      </c>
      <c r="C124" s="3">
        <v>2702</v>
      </c>
      <c r="D124" s="4">
        <f>VLOOKUP(A124,[1]LERMA!$D:$I,6,0)</f>
        <v>167.9521</v>
      </c>
    </row>
    <row r="125" spans="1:4" x14ac:dyDescent="0.3">
      <c r="A125" s="2" t="s">
        <v>98</v>
      </c>
      <c r="B125" s="2" t="s">
        <v>98</v>
      </c>
      <c r="C125" s="3">
        <v>50</v>
      </c>
      <c r="D125" s="4">
        <f>VLOOKUP(A125,[1]LERMA!$D:$I,6,0)</f>
        <v>616.05820000000006</v>
      </c>
    </row>
    <row r="126" spans="1:4" x14ac:dyDescent="0.3">
      <c r="A126" s="2" t="s">
        <v>99</v>
      </c>
      <c r="B126" s="2" t="s">
        <v>99</v>
      </c>
      <c r="C126" s="3">
        <v>134</v>
      </c>
      <c r="D126" s="4">
        <f>VLOOKUP(A126,[1]LERMA!$D:$I,6,0)</f>
        <v>684.36109999999996</v>
      </c>
    </row>
    <row r="127" spans="1:4" x14ac:dyDescent="0.3">
      <c r="A127" s="2" t="s">
        <v>100</v>
      </c>
      <c r="B127" s="2" t="s">
        <v>100</v>
      </c>
      <c r="C127" s="3">
        <v>163</v>
      </c>
      <c r="D127" s="4">
        <f>VLOOKUP(A127,[1]LERMA!$D:$I,6,0)</f>
        <v>466.255</v>
      </c>
    </row>
    <row r="128" spans="1:4" x14ac:dyDescent="0.3">
      <c r="A128" s="2" t="s">
        <v>101</v>
      </c>
      <c r="B128" s="2" t="s">
        <v>101</v>
      </c>
      <c r="C128" s="3">
        <v>35</v>
      </c>
      <c r="D128" s="4">
        <f>VLOOKUP(A128,[1]LERMA!$D:$I,6,0)</f>
        <v>803.96339999999998</v>
      </c>
    </row>
    <row r="129" spans="1:4" x14ac:dyDescent="0.3">
      <c r="A129" s="2" t="s">
        <v>102</v>
      </c>
      <c r="B129" s="2" t="s">
        <v>102</v>
      </c>
      <c r="C129" s="3">
        <v>118</v>
      </c>
      <c r="D129" s="4">
        <f>VLOOKUP(A129,[1]LERMA!$D:$I,6,0)</f>
        <v>648.37909999999999</v>
      </c>
    </row>
    <row r="130" spans="1:4" x14ac:dyDescent="0.3">
      <c r="A130" s="2" t="s">
        <v>103</v>
      </c>
      <c r="B130" s="2" t="s">
        <v>103</v>
      </c>
      <c r="C130" s="3">
        <v>156</v>
      </c>
      <c r="D130" s="4">
        <f>VLOOKUP(A130,[1]LERMA!$D:$I,6,0)</f>
        <v>345.96319999999997</v>
      </c>
    </row>
    <row r="131" spans="1:4" x14ac:dyDescent="0.3">
      <c r="A131" s="2" t="s">
        <v>104</v>
      </c>
      <c r="B131" s="2" t="s">
        <v>104</v>
      </c>
      <c r="C131" s="3">
        <v>20</v>
      </c>
      <c r="D131" s="4">
        <f>VLOOKUP(A131,[1]LERMA!$D:$I,6,0)</f>
        <v>920.34500000000003</v>
      </c>
    </row>
    <row r="132" spans="1:4" x14ac:dyDescent="0.3">
      <c r="A132" s="2" t="s">
        <v>105</v>
      </c>
      <c r="B132" s="2" t="s">
        <v>105</v>
      </c>
      <c r="C132" s="3">
        <v>48930</v>
      </c>
      <c r="D132" s="4">
        <f>VLOOKUP(A132,[1]LERMA!$D:$I,6,0)</f>
        <v>18.1525</v>
      </c>
    </row>
    <row r="133" spans="1:4" x14ac:dyDescent="0.3">
      <c r="A133" s="2" t="s">
        <v>106</v>
      </c>
      <c r="B133" s="2" t="s">
        <v>106</v>
      </c>
      <c r="C133" s="3">
        <v>2940</v>
      </c>
      <c r="D133" s="4">
        <f>VLOOKUP(A133,[1]LERMA!$D:$I,6,0)</f>
        <v>21.038599999999999</v>
      </c>
    </row>
    <row r="134" spans="1:4" x14ac:dyDescent="0.3">
      <c r="A134" s="2" t="s">
        <v>107</v>
      </c>
      <c r="B134" s="2" t="s">
        <v>107</v>
      </c>
      <c r="C134" s="3">
        <v>5506</v>
      </c>
      <c r="D134" s="4">
        <f>VLOOKUP(A134,[1]LERMA!$D:$I,6,0)</f>
        <v>25.7377</v>
      </c>
    </row>
    <row r="135" spans="1:4" x14ac:dyDescent="0.3">
      <c r="A135" s="2" t="s">
        <v>108</v>
      </c>
      <c r="B135" s="2" t="s">
        <v>108</v>
      </c>
      <c r="C135" s="3">
        <v>24525</v>
      </c>
      <c r="D135" s="4">
        <f>VLOOKUP(A135,[1]LERMA!$D:$I,6,0)</f>
        <v>36.645400000000002</v>
      </c>
    </row>
    <row r="136" spans="1:4" x14ac:dyDescent="0.3">
      <c r="A136" s="2" t="s">
        <v>109</v>
      </c>
      <c r="B136" s="2" t="s">
        <v>109</v>
      </c>
      <c r="C136" s="3">
        <v>250</v>
      </c>
      <c r="D136" s="4">
        <f>VLOOKUP(A136,[1]LERMA!$D:$I,6,0)</f>
        <v>26.618400000000001</v>
      </c>
    </row>
    <row r="137" spans="1:4" x14ac:dyDescent="0.3">
      <c r="A137" s="2" t="s">
        <v>110</v>
      </c>
      <c r="B137" s="2" t="s">
        <v>110</v>
      </c>
      <c r="C137" s="3">
        <v>609021</v>
      </c>
      <c r="D137" s="4">
        <f>VLOOKUP(A137,[1]LERMA!$D:$I,6,0)</f>
        <v>23.436699999999998</v>
      </c>
    </row>
    <row r="138" spans="1:4" x14ac:dyDescent="0.3">
      <c r="A138" s="2" t="s">
        <v>111</v>
      </c>
      <c r="B138" s="2" t="s">
        <v>111</v>
      </c>
      <c r="C138" s="3">
        <v>77502</v>
      </c>
      <c r="D138" s="4">
        <f>VLOOKUP(A138,[1]LERMA!$D:$I,6,0)</f>
        <v>31.570900000000002</v>
      </c>
    </row>
    <row r="139" spans="1:4" x14ac:dyDescent="0.3">
      <c r="A139" s="2" t="s">
        <v>112</v>
      </c>
      <c r="B139" s="2" t="s">
        <v>112</v>
      </c>
      <c r="C139" s="3">
        <v>147027</v>
      </c>
      <c r="D139" s="4">
        <f>VLOOKUP(A139,[1]LERMA!$D:$I,6,0)</f>
        <v>18.4404</v>
      </c>
    </row>
    <row r="140" spans="1:4" x14ac:dyDescent="0.3">
      <c r="A140" s="2" t="s">
        <v>113</v>
      </c>
      <c r="B140" s="2" t="s">
        <v>113</v>
      </c>
      <c r="C140" s="3">
        <v>71869</v>
      </c>
      <c r="D140" s="4">
        <f>VLOOKUP(A140,[1]LERMA!$D:$I,6,0)</f>
        <v>19.420000000000002</v>
      </c>
    </row>
    <row r="141" spans="1:4" x14ac:dyDescent="0.3">
      <c r="A141" s="2" t="s">
        <v>114</v>
      </c>
      <c r="B141" s="2" t="s">
        <v>114</v>
      </c>
      <c r="C141" s="3">
        <v>1826</v>
      </c>
      <c r="D141" s="4">
        <f>VLOOKUP(A141,[1]LERMA!$D:$I,6,0)</f>
        <v>167.76769999999999</v>
      </c>
    </row>
    <row r="142" spans="1:4" x14ac:dyDescent="0.3">
      <c r="A142" s="2" t="s">
        <v>115</v>
      </c>
      <c r="B142" s="2" t="s">
        <v>115</v>
      </c>
      <c r="C142" s="3">
        <v>1</v>
      </c>
      <c r="D142" s="4">
        <f>VLOOKUP(A142,[1]LERMA!$D:$I,6,0)</f>
        <v>70.643100000000004</v>
      </c>
    </row>
    <row r="143" spans="1:4" x14ac:dyDescent="0.3">
      <c r="A143" s="2" t="s">
        <v>116</v>
      </c>
      <c r="B143" s="2" t="s">
        <v>116</v>
      </c>
      <c r="C143" s="3">
        <v>7020000</v>
      </c>
      <c r="D143" s="4">
        <f>VLOOKUP(A143,[1]LERMA!$D:$I,6,0)</f>
        <v>0.19239999999999999</v>
      </c>
    </row>
    <row r="144" spans="1:4" x14ac:dyDescent="0.3">
      <c r="A144" s="2" t="s">
        <v>117</v>
      </c>
      <c r="B144" s="2" t="s">
        <v>117</v>
      </c>
      <c r="C144" s="3">
        <v>1000000</v>
      </c>
      <c r="D144" s="4">
        <f>VLOOKUP(A144,[1]LERMA!$D:$I,6,0)</f>
        <v>0.20449999999999999</v>
      </c>
    </row>
    <row r="145" spans="1:4" x14ac:dyDescent="0.3">
      <c r="A145" s="2" t="s">
        <v>118</v>
      </c>
      <c r="B145" s="2" t="s">
        <v>118</v>
      </c>
      <c r="C145" s="3">
        <v>926400</v>
      </c>
      <c r="D145" s="4">
        <f>VLOOKUP(A145,[1]LERMA!$D:$I,6,0)</f>
        <v>0.26300000000000001</v>
      </c>
    </row>
    <row r="146" spans="1:4" x14ac:dyDescent="0.3">
      <c r="A146" s="2" t="s">
        <v>119</v>
      </c>
      <c r="B146" s="2" t="s">
        <v>119</v>
      </c>
      <c r="C146" s="3">
        <v>4870080</v>
      </c>
      <c r="D146" s="4">
        <f>VLOOKUP(A146,[1]LERMA!$D:$I,6,0)</f>
        <v>0.37969999999999998</v>
      </c>
    </row>
    <row r="147" spans="1:4" x14ac:dyDescent="0.3">
      <c r="A147" s="2" t="s">
        <v>120</v>
      </c>
      <c r="B147" s="2" t="s">
        <v>120</v>
      </c>
      <c r="C147" s="3">
        <v>469102</v>
      </c>
      <c r="D147" s="4">
        <f>VLOOKUP(A147,[1]LERMA!$D:$I,6,0)</f>
        <v>0.47539999999999999</v>
      </c>
    </row>
    <row r="148" spans="1:4" x14ac:dyDescent="0.3">
      <c r="A148" s="2" t="s">
        <v>121</v>
      </c>
      <c r="B148" s="2" t="s">
        <v>121</v>
      </c>
      <c r="C148" s="3">
        <v>748</v>
      </c>
      <c r="D148" s="4">
        <f>VLOOKUP(A148,[1]LERMA!$D:$I,6,0)</f>
        <v>17.880700000000001</v>
      </c>
    </row>
    <row r="149" spans="1:4" x14ac:dyDescent="0.3">
      <c r="A149" s="2" t="s">
        <v>122</v>
      </c>
      <c r="B149" s="2" t="s">
        <v>122</v>
      </c>
      <c r="C149" s="3">
        <v>171</v>
      </c>
      <c r="D149" s="4">
        <f>VLOOKUP(A149,[1]LERMA!$D:$I,6,0)</f>
        <v>10.6564</v>
      </c>
    </row>
    <row r="150" spans="1:4" x14ac:dyDescent="0.3">
      <c r="A150" s="2" t="s">
        <v>123</v>
      </c>
      <c r="B150" s="2" t="s">
        <v>123</v>
      </c>
      <c r="C150" s="3">
        <v>3587</v>
      </c>
      <c r="D150" s="4">
        <f>VLOOKUP(A150,[1]LERMA!$D:$I,6,0)</f>
        <v>10.105600000000001</v>
      </c>
    </row>
    <row r="151" spans="1:4" x14ac:dyDescent="0.3">
      <c r="A151" s="2" t="s">
        <v>124</v>
      </c>
      <c r="B151" s="2" t="s">
        <v>124</v>
      </c>
      <c r="C151" s="3">
        <v>1001</v>
      </c>
      <c r="D151" s="4">
        <f>VLOOKUP(A151,[1]LERMA!$D:$I,6,0)</f>
        <v>20.768899999999999</v>
      </c>
    </row>
    <row r="152" spans="1:4" x14ac:dyDescent="0.3">
      <c r="A152" s="2" t="s">
        <v>125</v>
      </c>
      <c r="B152" s="2" t="s">
        <v>125</v>
      </c>
      <c r="C152" s="3">
        <v>786547</v>
      </c>
      <c r="D152" s="4">
        <f>VLOOKUP(A152,[1]LERMA!$D:$I,6,0)</f>
        <v>0.47810000000000002</v>
      </c>
    </row>
    <row r="153" spans="1:4" x14ac:dyDescent="0.3">
      <c r="A153" s="2" t="s">
        <v>126</v>
      </c>
      <c r="B153" s="2" t="s">
        <v>126</v>
      </c>
      <c r="C153" s="3">
        <v>1988</v>
      </c>
      <c r="D153" s="4">
        <f>VLOOKUP(A153,[1]LERMA!$D:$I,6,0)</f>
        <v>0.48570000000000002</v>
      </c>
    </row>
    <row r="154" spans="1:4" x14ac:dyDescent="0.3">
      <c r="A154" s="2" t="s">
        <v>127</v>
      </c>
      <c r="B154" s="2" t="s">
        <v>127</v>
      </c>
      <c r="C154" s="3">
        <v>1300</v>
      </c>
      <c r="D154" s="4">
        <f>VLOOKUP(A154,[1]LERMA!$D:$I,6,0)</f>
        <v>2.2042999999999999</v>
      </c>
    </row>
    <row r="155" spans="1:4" x14ac:dyDescent="0.3">
      <c r="A155" s="2" t="s">
        <v>128</v>
      </c>
      <c r="B155" s="2" t="s">
        <v>128</v>
      </c>
      <c r="C155" s="3">
        <v>292500</v>
      </c>
      <c r="D155" s="4">
        <f>VLOOKUP(A155,[1]LERMA!$D:$I,6,0)</f>
        <v>0.58130000000000004</v>
      </c>
    </row>
    <row r="156" spans="1:4" x14ac:dyDescent="0.3">
      <c r="A156" s="2" t="s">
        <v>129</v>
      </c>
      <c r="B156" s="2" t="s">
        <v>129</v>
      </c>
      <c r="C156" s="3">
        <v>7258</v>
      </c>
      <c r="D156" s="4">
        <f>VLOOKUP(A156,[1]LERMA!$D:$I,6,0)</f>
        <v>0.69899999999999995</v>
      </c>
    </row>
    <row r="157" spans="1:4" x14ac:dyDescent="0.3">
      <c r="A157" s="2" t="s">
        <v>130</v>
      </c>
      <c r="B157" s="2" t="s">
        <v>130</v>
      </c>
      <c r="C157" s="3">
        <v>14300</v>
      </c>
      <c r="D157" s="4">
        <f>VLOOKUP(A157,[1]LERMA!$D:$I,6,0)</f>
        <v>0.35520000000000002</v>
      </c>
    </row>
    <row r="158" spans="1:4" x14ac:dyDescent="0.3">
      <c r="A158" s="2" t="s">
        <v>131</v>
      </c>
      <c r="B158" s="2" t="s">
        <v>131</v>
      </c>
      <c r="C158" s="3">
        <v>3900</v>
      </c>
      <c r="D158" s="4">
        <f>VLOOKUP(A158,[1]LERMA!$D:$I,6,0)</f>
        <v>0.54690000000000005</v>
      </c>
    </row>
    <row r="159" spans="1:4" x14ac:dyDescent="0.3">
      <c r="A159" s="2" t="s">
        <v>132</v>
      </c>
      <c r="B159" s="2" t="s">
        <v>132</v>
      </c>
      <c r="C159" s="3">
        <v>124419</v>
      </c>
      <c r="D159" s="4">
        <f>VLOOKUP(A159,[1]LERMA!$D:$I,6,0)</f>
        <v>0.50080000000000002</v>
      </c>
    </row>
    <row r="160" spans="1:4" x14ac:dyDescent="0.3">
      <c r="A160" s="2" t="s">
        <v>133</v>
      </c>
      <c r="B160" s="2" t="s">
        <v>133</v>
      </c>
      <c r="C160" s="3">
        <v>11700</v>
      </c>
      <c r="D160" s="4">
        <f>VLOOKUP(A160,[1]LERMA!$D:$I,6,0)</f>
        <v>2.2256</v>
      </c>
    </row>
    <row r="161" spans="1:4" x14ac:dyDescent="0.3">
      <c r="A161" s="2" t="s">
        <v>134</v>
      </c>
      <c r="B161" s="2" t="s">
        <v>134</v>
      </c>
      <c r="C161" s="3">
        <v>279890</v>
      </c>
      <c r="D161" s="4">
        <f>VLOOKUP(A161,[1]LERMA!$D:$I,6,0)</f>
        <v>0.54310000000000003</v>
      </c>
    </row>
    <row r="162" spans="1:4" x14ac:dyDescent="0.3">
      <c r="A162" s="2" t="s">
        <v>135</v>
      </c>
      <c r="B162" s="2" t="s">
        <v>135</v>
      </c>
      <c r="C162" s="3">
        <v>2024</v>
      </c>
      <c r="D162" s="4">
        <f>VLOOKUP(A162,[1]LERMA!$D:$I,6,0)</f>
        <v>0.61670000000000003</v>
      </c>
    </row>
    <row r="163" spans="1:4" x14ac:dyDescent="0.3">
      <c r="A163" s="2" t="s">
        <v>136</v>
      </c>
      <c r="B163" s="2" t="s">
        <v>136</v>
      </c>
      <c r="C163" s="3">
        <v>168665</v>
      </c>
      <c r="D163" s="4">
        <f>VLOOKUP(A163,[1]LERMA!$D:$I,6,0)</f>
        <v>0.56259999999999999</v>
      </c>
    </row>
    <row r="164" spans="1:4" x14ac:dyDescent="0.3">
      <c r="A164" s="2" t="s">
        <v>137</v>
      </c>
      <c r="B164" s="2" t="s">
        <v>137</v>
      </c>
      <c r="C164" s="3">
        <v>265140</v>
      </c>
      <c r="D164" s="4">
        <f>VLOOKUP(A164,[1]LERMA!$D:$I,6,0)</f>
        <v>0.52590000000000003</v>
      </c>
    </row>
    <row r="165" spans="1:4" x14ac:dyDescent="0.3">
      <c r="A165" s="2" t="s">
        <v>138</v>
      </c>
      <c r="B165" s="2" t="s">
        <v>138</v>
      </c>
      <c r="C165" s="3">
        <v>73006</v>
      </c>
      <c r="D165" s="4">
        <f>VLOOKUP(A165,[1]LERMA!$D:$I,6,0)</f>
        <v>0.49080000000000001</v>
      </c>
    </row>
    <row r="166" spans="1:4" x14ac:dyDescent="0.3">
      <c r="A166" s="2" t="s">
        <v>139</v>
      </c>
      <c r="B166" s="2" t="s">
        <v>139</v>
      </c>
      <c r="C166" s="3">
        <v>139378</v>
      </c>
      <c r="D166" s="4">
        <f>VLOOKUP(A166,[1]LERMA!$D:$I,6,0)</f>
        <v>0.53120000000000001</v>
      </c>
    </row>
    <row r="167" spans="1:4" x14ac:dyDescent="0.3">
      <c r="A167" s="2" t="s">
        <v>140</v>
      </c>
      <c r="B167" s="2" t="s">
        <v>140</v>
      </c>
      <c r="C167" s="3">
        <v>12000</v>
      </c>
      <c r="D167" s="4">
        <f>VLOOKUP(A167,[1]LERMA!$D:$I,6,0)</f>
        <v>0.33339999999999997</v>
      </c>
    </row>
    <row r="168" spans="1:4" x14ac:dyDescent="0.3">
      <c r="A168" s="2" t="s">
        <v>141</v>
      </c>
      <c r="B168" s="2" t="s">
        <v>141</v>
      </c>
      <c r="C168" s="3">
        <v>108416</v>
      </c>
      <c r="D168" s="4">
        <f>VLOOKUP(A168,[1]LERMA!$D:$I,6,0)</f>
        <v>0.55359999999999998</v>
      </c>
    </row>
    <row r="169" spans="1:4" x14ac:dyDescent="0.3">
      <c r="A169" s="2" t="s">
        <v>142</v>
      </c>
      <c r="B169" s="2" t="s">
        <v>142</v>
      </c>
      <c r="C169" s="3">
        <v>2098</v>
      </c>
      <c r="D169" s="4">
        <f>VLOOKUP(A169,[1]LERMA!$D:$I,6,0)</f>
        <v>0.54220000000000002</v>
      </c>
    </row>
    <row r="170" spans="1:4" x14ac:dyDescent="0.3">
      <c r="A170" s="2" t="s">
        <v>143</v>
      </c>
      <c r="B170" s="2" t="s">
        <v>143</v>
      </c>
      <c r="C170" s="3">
        <v>1000</v>
      </c>
      <c r="D170" s="4">
        <f>VLOOKUP(A170,[1]LERMA!$D:$I,6,0)</f>
        <v>0.43890000000000001</v>
      </c>
    </row>
    <row r="171" spans="1:4" x14ac:dyDescent="0.3">
      <c r="A171" s="2" t="s">
        <v>144</v>
      </c>
      <c r="B171" s="2" t="s">
        <v>144</v>
      </c>
      <c r="C171" s="3">
        <v>59376</v>
      </c>
      <c r="D171" s="4">
        <f>VLOOKUP(A171,[1]LERMA!$D:$I,6,0)</f>
        <v>0.61899999999999999</v>
      </c>
    </row>
    <row r="172" spans="1:4" x14ac:dyDescent="0.3">
      <c r="A172" s="2" t="s">
        <v>145</v>
      </c>
      <c r="B172" s="2" t="s">
        <v>145</v>
      </c>
      <c r="C172" s="3">
        <v>176388</v>
      </c>
      <c r="D172" s="4">
        <f>VLOOKUP(A172,[1]LERMA!$D:$I,6,0)</f>
        <v>0.64229999999999998</v>
      </c>
    </row>
    <row r="173" spans="1:4" x14ac:dyDescent="0.3">
      <c r="A173" s="2" t="s">
        <v>146</v>
      </c>
      <c r="B173" s="2" t="s">
        <v>146</v>
      </c>
      <c r="C173" s="3">
        <v>3077</v>
      </c>
      <c r="D173" s="4">
        <f>VLOOKUP(A173,[1]LERMA!$D:$I,6,0)</f>
        <v>0.35780000000000001</v>
      </c>
    </row>
    <row r="174" spans="1:4" x14ac:dyDescent="0.3">
      <c r="A174" s="2" t="s">
        <v>147</v>
      </c>
      <c r="B174" s="2" t="s">
        <v>147</v>
      </c>
      <c r="C174" s="3">
        <v>180327</v>
      </c>
      <c r="D174" s="4">
        <f>VLOOKUP(A174,[1]LERMA!$D:$I,6,0)</f>
        <v>0.68430000000000002</v>
      </c>
    </row>
    <row r="175" spans="1:4" x14ac:dyDescent="0.3">
      <c r="A175" s="2" t="s">
        <v>148</v>
      </c>
      <c r="B175" s="2" t="s">
        <v>148</v>
      </c>
      <c r="C175" s="3">
        <v>43617</v>
      </c>
      <c r="D175" s="4">
        <f>VLOOKUP(A175,[1]LERMA!$D:$I,6,0)</f>
        <v>0.73950000000000005</v>
      </c>
    </row>
    <row r="176" spans="1:4" x14ac:dyDescent="0.3">
      <c r="A176" s="2" t="s">
        <v>149</v>
      </c>
      <c r="B176" s="2" t="s">
        <v>149</v>
      </c>
      <c r="C176" s="3">
        <v>900</v>
      </c>
      <c r="D176" s="4">
        <f>VLOOKUP(A176,[1]LERMA!$D:$I,6,0)</f>
        <v>0.70830000000000004</v>
      </c>
    </row>
    <row r="177" spans="1:4" x14ac:dyDescent="0.3">
      <c r="A177" s="2" t="s">
        <v>150</v>
      </c>
      <c r="B177" s="2" t="s">
        <v>150</v>
      </c>
      <c r="C177" s="3">
        <v>54815</v>
      </c>
      <c r="D177" s="4">
        <f>VLOOKUP(A177,[1]LERMA!$D:$I,6,0)</f>
        <v>0.64710000000000001</v>
      </c>
    </row>
    <row r="178" spans="1:4" x14ac:dyDescent="0.3">
      <c r="A178" s="2" t="s">
        <v>151</v>
      </c>
      <c r="B178" s="2" t="s">
        <v>151</v>
      </c>
      <c r="C178" s="3">
        <v>54605</v>
      </c>
      <c r="D178" s="4">
        <f>VLOOKUP(A178,[1]LERMA!$D:$I,6,0)</f>
        <v>0.64780000000000004</v>
      </c>
    </row>
    <row r="179" spans="1:4" x14ac:dyDescent="0.3">
      <c r="A179" s="2" t="s">
        <v>152</v>
      </c>
      <c r="B179" s="2" t="s">
        <v>152</v>
      </c>
      <c r="C179" s="3">
        <v>313979</v>
      </c>
      <c r="D179" s="4">
        <f>VLOOKUP(A179,[1]LERMA!$D:$I,6,0)</f>
        <v>0.94310000000000005</v>
      </c>
    </row>
    <row r="180" spans="1:4" x14ac:dyDescent="0.3">
      <c r="A180" s="2" t="s">
        <v>153</v>
      </c>
      <c r="B180" s="2" t="s">
        <v>153</v>
      </c>
      <c r="C180" s="3">
        <v>2926</v>
      </c>
      <c r="D180" s="4">
        <f>VLOOKUP(A180,[1]LERMA!$D:$I,6,0)</f>
        <v>2.4651000000000001</v>
      </c>
    </row>
    <row r="181" spans="1:4" x14ac:dyDescent="0.3">
      <c r="A181" s="2" t="s">
        <v>154</v>
      </c>
      <c r="B181" s="2" t="s">
        <v>154</v>
      </c>
      <c r="C181" s="3">
        <v>214213</v>
      </c>
      <c r="D181" s="4">
        <f>VLOOKUP(A181,[1]LERMA!$D:$I,6,0)</f>
        <v>1.0341</v>
      </c>
    </row>
    <row r="182" spans="1:4" x14ac:dyDescent="0.3">
      <c r="A182" s="2" t="s">
        <v>155</v>
      </c>
      <c r="B182" s="2" t="s">
        <v>155</v>
      </c>
      <c r="C182" s="3">
        <v>213600</v>
      </c>
      <c r="D182" s="4">
        <f>VLOOKUP(A182,[1]LERMA!$D:$I,6,0)</f>
        <v>0.90649999999999997</v>
      </c>
    </row>
    <row r="183" spans="1:4" x14ac:dyDescent="0.3">
      <c r="A183" s="2" t="s">
        <v>156</v>
      </c>
      <c r="B183" s="2" t="s">
        <v>156</v>
      </c>
      <c r="C183" s="3">
        <v>2819</v>
      </c>
      <c r="D183" s="4">
        <f>VLOOKUP(A183,[1]LERMA!$D:$I,6,0)</f>
        <v>0.99460000000000004</v>
      </c>
    </row>
    <row r="184" spans="1:4" x14ac:dyDescent="0.3">
      <c r="A184" s="2" t="s">
        <v>157</v>
      </c>
      <c r="B184" s="2" t="s">
        <v>157</v>
      </c>
      <c r="C184" s="3">
        <v>1373</v>
      </c>
      <c r="D184" s="4">
        <f>VLOOKUP(A184,[1]LERMA!$D:$I,6,0)</f>
        <v>1.5235000000000001</v>
      </c>
    </row>
    <row r="185" spans="1:4" x14ac:dyDescent="0.3">
      <c r="A185" s="2" t="s">
        <v>158</v>
      </c>
      <c r="B185" s="2" t="s">
        <v>158</v>
      </c>
      <c r="C185" s="3">
        <v>88410</v>
      </c>
      <c r="D185" s="4">
        <f>VLOOKUP(A185,[1]LERMA!$D:$I,6,0)</f>
        <v>0.96009999999999995</v>
      </c>
    </row>
    <row r="186" spans="1:4" x14ac:dyDescent="0.3">
      <c r="A186" s="2" t="s">
        <v>159</v>
      </c>
      <c r="B186" s="2" t="s">
        <v>159</v>
      </c>
      <c r="C186" s="3">
        <v>1059</v>
      </c>
      <c r="D186" s="4">
        <f>VLOOKUP(A186,[1]LERMA!$D:$I,6,0)</f>
        <v>1.1882999999999999</v>
      </c>
    </row>
    <row r="187" spans="1:4" x14ac:dyDescent="0.3">
      <c r="A187" s="2" t="s">
        <v>160</v>
      </c>
      <c r="B187" s="2" t="s">
        <v>160</v>
      </c>
      <c r="C187" s="3">
        <v>8934</v>
      </c>
      <c r="D187" s="4">
        <f>VLOOKUP(A187,[1]LERMA!$D:$I,6,0)</f>
        <v>0.96040000000000003</v>
      </c>
    </row>
    <row r="188" spans="1:4" x14ac:dyDescent="0.3">
      <c r="A188" s="2" t="s">
        <v>161</v>
      </c>
      <c r="B188" s="2" t="s">
        <v>161</v>
      </c>
      <c r="C188" s="3">
        <v>13684</v>
      </c>
      <c r="D188" s="4">
        <f>VLOOKUP(A188,[1]LERMA!$D:$I,6,0)</f>
        <v>1.0824</v>
      </c>
    </row>
    <row r="189" spans="1:4" x14ac:dyDescent="0.3">
      <c r="A189" s="2" t="s">
        <v>162</v>
      </c>
      <c r="B189" s="2" t="s">
        <v>162</v>
      </c>
      <c r="C189" s="3">
        <v>21600</v>
      </c>
      <c r="D189" s="4">
        <f>VLOOKUP(A189,[1]LERMA!$D:$I,6,0)</f>
        <v>0.88439999999999996</v>
      </c>
    </row>
    <row r="190" spans="1:4" x14ac:dyDescent="0.3">
      <c r="A190" s="2" t="s">
        <v>163</v>
      </c>
      <c r="B190" s="2" t="s">
        <v>163</v>
      </c>
      <c r="C190" s="3">
        <v>725</v>
      </c>
      <c r="D190" s="4">
        <f>VLOOKUP(A190,[1]LERMA!$D:$I,6,0)</f>
        <v>0.5998</v>
      </c>
    </row>
    <row r="191" spans="1:4" x14ac:dyDescent="0.3">
      <c r="A191" s="2" t="s">
        <v>164</v>
      </c>
      <c r="B191" s="2" t="s">
        <v>164</v>
      </c>
      <c r="C191" s="3">
        <v>696</v>
      </c>
      <c r="D191" s="4">
        <f>VLOOKUP(A191,[1]LERMA!$D:$I,6,0)</f>
        <v>0.62290000000000001</v>
      </c>
    </row>
    <row r="192" spans="1:4" x14ac:dyDescent="0.3">
      <c r="A192" s="2" t="s">
        <v>165</v>
      </c>
      <c r="B192" s="2" t="s">
        <v>165</v>
      </c>
      <c r="C192" s="3">
        <v>17984</v>
      </c>
      <c r="D192" s="4">
        <f>VLOOKUP(A192,[1]LERMA!$D:$I,6,0)</f>
        <v>0.75219999999999998</v>
      </c>
    </row>
    <row r="193" spans="1:4" x14ac:dyDescent="0.3">
      <c r="A193" s="2" t="s">
        <v>166</v>
      </c>
      <c r="B193" s="2" t="s">
        <v>166</v>
      </c>
      <c r="C193" s="3">
        <v>497</v>
      </c>
      <c r="D193" s="4">
        <f>VLOOKUP(A193,[1]LERMA!$D:$I,6,0)</f>
        <v>120</v>
      </c>
    </row>
    <row r="194" spans="1:4" x14ac:dyDescent="0.3">
      <c r="A194" s="2" t="s">
        <v>167</v>
      </c>
      <c r="B194" s="2" t="s">
        <v>167</v>
      </c>
      <c r="C194" s="3">
        <v>15277</v>
      </c>
      <c r="D194" s="4">
        <f>VLOOKUP(A194,[1]LERMA!$D:$I,6,0)</f>
        <v>1.6785000000000001</v>
      </c>
    </row>
    <row r="195" spans="1:4" x14ac:dyDescent="0.3">
      <c r="A195" s="2" t="s">
        <v>168</v>
      </c>
      <c r="B195" s="2" t="s">
        <v>168</v>
      </c>
      <c r="C195" s="3">
        <v>693</v>
      </c>
      <c r="D195" s="4">
        <f>VLOOKUP(A195,[1]LERMA!$D:$I,6,0)</f>
        <v>3.3047</v>
      </c>
    </row>
    <row r="196" spans="1:4" x14ac:dyDescent="0.3">
      <c r="A196" s="2" t="s">
        <v>169</v>
      </c>
      <c r="B196" s="2" t="s">
        <v>169</v>
      </c>
      <c r="C196" s="3">
        <v>3686</v>
      </c>
      <c r="D196" s="4">
        <f>VLOOKUP(A196,[1]LERMA!$D:$I,6,0)</f>
        <v>6.7373000000000003</v>
      </c>
    </row>
    <row r="197" spans="1:4" x14ac:dyDescent="0.3">
      <c r="A197" s="2" t="s">
        <v>170</v>
      </c>
      <c r="B197" s="2" t="s">
        <v>170</v>
      </c>
      <c r="C197" s="3">
        <v>10960</v>
      </c>
      <c r="D197" s="4">
        <f>VLOOKUP(A197,[1]LERMA!$D:$I,6,0)</f>
        <v>6.92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PlantillaDeExistencias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Villegas</cp:lastModifiedBy>
  <dcterms:created xsi:type="dcterms:W3CDTF">2025-12-04T21:30:27Z</dcterms:created>
  <dcterms:modified xsi:type="dcterms:W3CDTF">2025-12-05T00:17:17Z</dcterms:modified>
</cp:coreProperties>
</file>